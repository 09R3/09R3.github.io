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cwa2-my.sharepoint.com/personal/wbarrett_kcwa_com/Documents/"/>
    </mc:Choice>
  </mc:AlternateContent>
  <xr:revisionPtr revIDLastSave="50" documentId="8_{68B61F46-2F87-B049-AC3C-ADF8FC1FE36D}" xr6:coauthVersionLast="47" xr6:coauthVersionMax="47" xr10:uidLastSave="{110AED38-5269-5B45-8860-38E3639BB91D}"/>
  <bookViews>
    <workbookView xWindow="-120" yWindow="-120" windowWidth="29040" windowHeight="15720" activeTab="3" xr2:uid="{00000000-000D-0000-FFFF-FFFF00000000}"/>
  </bookViews>
  <sheets>
    <sheet name="Overpour" sheetId="1" r:id="rId1"/>
    <sheet name="Pressure" sheetId="2" r:id="rId2"/>
    <sheet name="Open Air" sheetId="3" r:id="rId3"/>
    <sheet name="P-11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D11" i="4"/>
  <c r="E2" i="4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39" i="1"/>
  <c r="C39" i="1"/>
  <c r="D39" i="1"/>
  <c r="E39" i="1"/>
  <c r="F39" i="1"/>
  <c r="G39" i="1"/>
  <c r="H39" i="1"/>
  <c r="I39" i="1"/>
  <c r="B38" i="1"/>
  <c r="C38" i="1"/>
  <c r="D38" i="1"/>
  <c r="E38" i="1"/>
  <c r="F38" i="1"/>
  <c r="G38" i="1"/>
  <c r="H38" i="1"/>
  <c r="I38" i="1"/>
  <c r="B37" i="1"/>
  <c r="C37" i="1"/>
  <c r="D37" i="1"/>
  <c r="E37" i="1"/>
  <c r="F37" i="1"/>
  <c r="G37" i="1"/>
  <c r="H37" i="1"/>
  <c r="I37" i="1"/>
  <c r="B36" i="1"/>
  <c r="C36" i="1"/>
  <c r="D36" i="1"/>
  <c r="E36" i="1"/>
  <c r="F36" i="1"/>
  <c r="G36" i="1"/>
  <c r="H36" i="1"/>
  <c r="I36" i="1"/>
  <c r="B35" i="1"/>
  <c r="C35" i="1"/>
  <c r="D35" i="1"/>
  <c r="E35" i="1"/>
  <c r="F35" i="1"/>
  <c r="G35" i="1"/>
  <c r="H35" i="1"/>
  <c r="I35" i="1"/>
  <c r="B34" i="1"/>
  <c r="C34" i="1"/>
  <c r="D34" i="1"/>
  <c r="E34" i="1"/>
  <c r="F34" i="1"/>
  <c r="G34" i="1"/>
  <c r="H34" i="1"/>
  <c r="I34" i="1"/>
  <c r="B33" i="1"/>
  <c r="C33" i="1"/>
  <c r="D33" i="1"/>
  <c r="E33" i="1"/>
  <c r="F33" i="1"/>
  <c r="G33" i="1"/>
  <c r="H33" i="1"/>
  <c r="I33" i="1"/>
  <c r="B32" i="1"/>
  <c r="C32" i="1"/>
  <c r="D32" i="1"/>
  <c r="E32" i="1"/>
  <c r="F32" i="1"/>
  <c r="G32" i="1"/>
  <c r="H32" i="1"/>
  <c r="I32" i="1"/>
  <c r="B31" i="1"/>
  <c r="C31" i="1"/>
  <c r="D31" i="1"/>
  <c r="E31" i="1"/>
  <c r="F31" i="1"/>
  <c r="G31" i="1"/>
  <c r="H31" i="1"/>
  <c r="I31" i="1"/>
  <c r="B15" i="3"/>
  <c r="E15" i="3"/>
  <c r="B14" i="3"/>
  <c r="E14" i="3"/>
  <c r="B16" i="2"/>
  <c r="E16" i="2"/>
  <c r="B15" i="2"/>
  <c r="E15" i="2"/>
  <c r="B14" i="2"/>
  <c r="E14" i="2"/>
  <c r="B13" i="2"/>
  <c r="E13" i="2"/>
  <c r="B12" i="2"/>
  <c r="E12" i="2"/>
  <c r="B11" i="2"/>
  <c r="E11" i="2"/>
  <c r="B10" i="2"/>
  <c r="E10" i="2"/>
  <c r="B9" i="2"/>
  <c r="E9" i="2"/>
  <c r="B8" i="2"/>
  <c r="E8" i="2"/>
  <c r="B7" i="2"/>
  <c r="E7" i="2"/>
  <c r="B6" i="2"/>
  <c r="E6" i="2"/>
  <c r="F9" i="2"/>
  <c r="F8" i="2"/>
  <c r="F7" i="2"/>
  <c r="F6" i="2"/>
  <c r="I64" i="1"/>
  <c r="I63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64" i="1"/>
  <c r="H63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63" i="1"/>
  <c r="G64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63" i="1"/>
  <c r="F64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63" i="1"/>
  <c r="E64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63" i="1"/>
  <c r="D64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63" i="1"/>
  <c r="C64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63" i="1"/>
  <c r="B64" i="1"/>
  <c r="B3" i="1"/>
  <c r="B12" i="3"/>
  <c r="C12" i="3"/>
  <c r="B13" i="3"/>
  <c r="C13" i="3"/>
  <c r="C14" i="3"/>
  <c r="D15" i="3"/>
  <c r="C15" i="3"/>
  <c r="F15" i="3"/>
  <c r="B16" i="3"/>
  <c r="E16" i="3"/>
  <c r="F16" i="3"/>
  <c r="C13" i="2"/>
  <c r="F15" i="2"/>
  <c r="F16" i="2"/>
  <c r="D16" i="2"/>
  <c r="C16" i="2"/>
  <c r="F14" i="2"/>
  <c r="D14" i="2"/>
  <c r="C14" i="2"/>
  <c r="F12" i="2"/>
  <c r="D12" i="2"/>
  <c r="C12" i="2"/>
  <c r="F10" i="2"/>
  <c r="D7" i="2"/>
  <c r="B6" i="3"/>
  <c r="C6" i="3"/>
  <c r="B7" i="3"/>
  <c r="F7" i="3"/>
  <c r="B8" i="3"/>
  <c r="D8" i="3"/>
  <c r="B9" i="3"/>
  <c r="C9" i="3"/>
  <c r="B10" i="3"/>
  <c r="C10" i="3"/>
  <c r="B11" i="3"/>
  <c r="E11" i="3"/>
  <c r="F11" i="3"/>
  <c r="C11" i="2"/>
  <c r="F11" i="2"/>
  <c r="D11" i="2"/>
  <c r="C9" i="2"/>
  <c r="C7" i="2"/>
  <c r="F9" i="3"/>
  <c r="D6" i="3"/>
  <c r="C6" i="2"/>
  <c r="C8" i="2"/>
  <c r="C11" i="3"/>
  <c r="D6" i="2"/>
  <c r="D8" i="2"/>
  <c r="D9" i="3"/>
  <c r="D11" i="3"/>
  <c r="F10" i="3"/>
  <c r="E6" i="3"/>
  <c r="D7" i="3"/>
  <c r="E7" i="3"/>
  <c r="E8" i="3"/>
  <c r="E9" i="3"/>
  <c r="E10" i="3"/>
  <c r="C7" i="3"/>
  <c r="F13" i="3"/>
  <c r="E12" i="3"/>
  <c r="F12" i="3"/>
  <c r="E13" i="3"/>
  <c r="F6" i="3"/>
  <c r="D16" i="3"/>
  <c r="D10" i="3"/>
  <c r="C16" i="3"/>
  <c r="D13" i="3"/>
  <c r="D12" i="3"/>
  <c r="C8" i="3"/>
  <c r="F14" i="3"/>
  <c r="D14" i="3"/>
  <c r="F8" i="3"/>
  <c r="D13" i="2"/>
  <c r="F13" i="2"/>
  <c r="C10" i="2"/>
  <c r="D10" i="2"/>
  <c r="D9" i="2"/>
  <c r="C15" i="2"/>
  <c r="D15" i="2"/>
  <c r="C11" i="4"/>
  <c r="E11" i="4"/>
  <c r="C9" i="4"/>
  <c r="D9" i="4"/>
  <c r="E9" i="4"/>
  <c r="C14" i="4"/>
  <c r="D14" i="4"/>
  <c r="E14" i="4"/>
  <c r="C6" i="4"/>
  <c r="D6" i="4"/>
  <c r="E6" i="4"/>
  <c r="C10" i="4"/>
  <c r="D10" i="4"/>
  <c r="E10" i="4"/>
  <c r="C15" i="4"/>
  <c r="D15" i="4"/>
  <c r="E15" i="4"/>
  <c r="C7" i="4"/>
  <c r="D7" i="4"/>
  <c r="E7" i="4"/>
  <c r="C12" i="4"/>
  <c r="D12" i="4"/>
  <c r="E12" i="4"/>
  <c r="C16" i="4"/>
  <c r="D16" i="4"/>
  <c r="E16" i="4"/>
  <c r="C8" i="4"/>
  <c r="D8" i="4"/>
  <c r="E8" i="4"/>
  <c r="C13" i="4"/>
  <c r="D13" i="4"/>
  <c r="E13" i="4"/>
</calcChain>
</file>

<file path=xl/sharedStrings.xml><?xml version="1.0" encoding="utf-8"?>
<sst xmlns="http://schemas.openxmlformats.org/spreadsheetml/2006/main" count="48" uniqueCount="21">
  <si>
    <t>Overpour</t>
  </si>
  <si>
    <t>Pressure</t>
  </si>
  <si>
    <t>Head:</t>
  </si>
  <si>
    <t>Open:</t>
  </si>
  <si>
    <t>-5</t>
  </si>
  <si>
    <t>-4</t>
  </si>
  <si>
    <t>-3</t>
  </si>
  <si>
    <t>-2</t>
  </si>
  <si>
    <t>+1</t>
  </si>
  <si>
    <t>+2</t>
  </si>
  <si>
    <t>+3</t>
  </si>
  <si>
    <t>+4</t>
  </si>
  <si>
    <t>+5</t>
  </si>
  <si>
    <t>Open Air</t>
  </si>
  <si>
    <t>Inches</t>
  </si>
  <si>
    <t>Width</t>
  </si>
  <si>
    <t>in.</t>
  </si>
  <si>
    <t>P-11 Pressure</t>
  </si>
  <si>
    <t>ft.</t>
  </si>
  <si>
    <t>%</t>
  </si>
  <si>
    <t>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</si>
</sst>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</font>
    <font>
      <sz val="14"/>
      <name val="Arial"/>
    </font>
    <font>
      <b/>
      <sz val="14"/>
      <name val="Arial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F2CC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rgb="FFFFF2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2" fontId="2" fillId="0" borderId="0" xfId="0" applyNumberFormat="1" applyFont="1" applyAlignment="1">
      <alignment horizontal="left"/>
    </xf>
    <xf numFmtId="4" fontId="1" fillId="0" borderId="0" xfId="0" applyNumberFormat="1" applyFont="1"/>
    <xf numFmtId="49" fontId="2" fillId="0" borderId="0" xfId="0" applyNumberFormat="1" applyFont="1"/>
    <xf numFmtId="0" fontId="2" fillId="0" borderId="0" xfId="0" quotePrefix="1" applyFont="1"/>
    <xf numFmtId="4" fontId="4" fillId="2" borderId="0" xfId="0" applyNumberFormat="1" applyFont="1" applyFill="1"/>
    <xf numFmtId="0" fontId="6" fillId="0" borderId="0" xfId="0" applyFont="1"/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0" fontId="4" fillId="3" borderId="1" xfId="0" applyFont="1" applyFill="1" applyBorder="1" applyProtection="1">
      <protection locked="0"/>
    </xf>
    <xf numFmtId="49" fontId="7" fillId="0" borderId="0" xfId="0" applyNumberFormat="1" applyFont="1"/>
    <xf numFmtId="49" fontId="7" fillId="0" borderId="0" xfId="0" quotePrefix="1" applyNumberFormat="1" applyFont="1"/>
    <xf numFmtId="1" fontId="7" fillId="0" borderId="0" xfId="0" applyNumberFormat="1" applyFont="1"/>
    <xf numFmtId="2" fontId="2" fillId="0" borderId="0" xfId="0" applyNumberFormat="1" applyFont="1"/>
    <xf numFmtId="2" fontId="3" fillId="2" borderId="0" xfId="0" applyNumberFormat="1" applyFont="1" applyFill="1"/>
    <xf numFmtId="2" fontId="7" fillId="0" borderId="0" xfId="0" applyNumberFormat="1" applyFont="1"/>
    <xf numFmtId="0" fontId="2" fillId="4" borderId="2" xfId="0" applyFont="1" applyFill="1" applyBorder="1" applyAlignment="1" applyProtection="1">
      <alignment horizontal="center"/>
      <protection locked="0"/>
    </xf>
    <xf numFmtId="4" fontId="1" fillId="0" borderId="3" xfId="0" applyNumberFormat="1" applyFont="1" applyBorder="1"/>
    <xf numFmtId="0" fontId="0" fillId="0" borderId="3" xfId="0" applyBorder="1"/>
    <xf numFmtId="4" fontId="1" fillId="0" borderId="4" xfId="0" applyNumberFormat="1" applyFont="1" applyBorder="1"/>
    <xf numFmtId="4" fontId="4" fillId="2" borderId="4" xfId="0" applyNumberFormat="1" applyFont="1" applyFill="1" applyBorder="1"/>
    <xf numFmtId="0" fontId="0" fillId="0" borderId="0" xfId="1" applyFont="1"/>
    <xf numFmtId="164" fontId="5" fillId="5" borderId="2" xfId="1" applyNumberFormat="1" applyFont="1" applyFill="1" applyBorder="1" applyProtection="1">
      <protection locked="0"/>
    </xf>
    <xf numFmtId="1" fontId="5" fillId="5" borderId="2" xfId="1" applyNumberFormat="1" applyFont="1" applyFill="1" applyBorder="1" applyProtection="1">
      <protection locked="0"/>
    </xf>
    <xf numFmtId="0" fontId="7" fillId="0" borderId="0" xfId="1" applyFont="1" applyAlignment="1">
      <alignment horizontal="center"/>
    </xf>
    <xf numFmtId="0" fontId="7" fillId="0" borderId="0" xfId="1" applyFont="1"/>
    <xf numFmtId="0" fontId="10" fillId="0" borderId="0" xfId="1" applyFont="1"/>
    <xf numFmtId="0" fontId="4" fillId="6" borderId="0" xfId="1" applyFont="1" applyFill="1"/>
    <xf numFmtId="0" fontId="5" fillId="0" borderId="0" xfId="1" applyFont="1" applyAlignment="1">
      <alignment horizontal="left"/>
    </xf>
    <xf numFmtId="0" fontId="5" fillId="0" borderId="0" xfId="1" applyFont="1"/>
    <xf numFmtId="49" fontId="7" fillId="0" borderId="0" xfId="1" applyNumberFormat="1" applyFont="1" applyAlignment="1">
      <alignment horizontal="right"/>
    </xf>
    <xf numFmtId="9" fontId="7" fillId="0" borderId="0" xfId="1" applyNumberFormat="1" applyFont="1" applyAlignment="1">
      <alignment horizontal="right"/>
    </xf>
    <xf numFmtId="3" fontId="5" fillId="0" borderId="0" xfId="1" applyNumberFormat="1" applyFont="1"/>
    <xf numFmtId="4" fontId="5" fillId="0" borderId="0" xfId="1" applyNumberFormat="1" applyFont="1"/>
    <xf numFmtId="9" fontId="7" fillId="7" borderId="0" xfId="1" applyNumberFormat="1" applyFont="1" applyFill="1" applyAlignment="1">
      <alignment horizontal="right"/>
    </xf>
    <xf numFmtId="0" fontId="3" fillId="2" borderId="0" xfId="1" applyFont="1" applyFill="1"/>
    <xf numFmtId="3" fontId="4" fillId="2" borderId="0" xfId="1" applyNumberFormat="1" applyFont="1" applyFill="1"/>
    <xf numFmtId="4" fontId="4" fillId="0" borderId="0" xfId="1" applyNumberFormat="1" applyFont="1"/>
    <xf numFmtId="0" fontId="7" fillId="0" borderId="0" xfId="1" applyFont="1" applyAlignment="1">
      <alignment horizontal="right"/>
    </xf>
    <xf numFmtId="49" fontId="7" fillId="0" borderId="0" xfId="1" quotePrefix="1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right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2FA1FD4F-76CE-4A81-89A9-5E47FD041573}"/>
  </cellStyles>
  <dxfs count="0"/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J64"/>
  <sheetViews>
    <sheetView zoomScaleNormal="100" workbookViewId="0">
      <pane ySplit="2" topLeftCell="A3" activePane="bottomLeft" state="frozen"/>
      <selection pane="bottomLeft" activeCell="I1" sqref="I1"/>
    </sheetView>
  </sheetViews>
  <sheetFormatPr defaultColWidth="0" defaultRowHeight="15.75" customHeight="1" zeroHeight="1" x14ac:dyDescent="0.15"/>
  <cols>
    <col min="1" max="7" width="9.57421875" customWidth="1"/>
    <col min="8" max="8" width="9.57421875" style="20" customWidth="1"/>
    <col min="9" max="9" width="9.57421875" customWidth="1"/>
    <col min="10" max="10" width="0" hidden="1" customWidth="1"/>
    <col min="11" max="16384" width="12.67578125" hidden="1"/>
  </cols>
  <sheetData>
    <row r="1" spans="1:9" ht="18.75" thickBot="1" x14ac:dyDescent="0.25">
      <c r="A1" s="9" t="s">
        <v>15</v>
      </c>
      <c r="B1" s="2">
        <v>24</v>
      </c>
      <c r="C1" s="2">
        <v>36</v>
      </c>
      <c r="D1" s="2">
        <v>48</v>
      </c>
      <c r="E1" s="2">
        <v>52</v>
      </c>
      <c r="F1" s="2">
        <v>54</v>
      </c>
      <c r="G1" s="2">
        <v>55</v>
      </c>
      <c r="H1" s="2">
        <v>56</v>
      </c>
      <c r="I1" s="18">
        <v>66</v>
      </c>
    </row>
    <row r="2" spans="1:9" ht="18" x14ac:dyDescent="0.2">
      <c r="A2" s="8" t="s">
        <v>14</v>
      </c>
      <c r="B2" s="42" t="s">
        <v>0</v>
      </c>
      <c r="C2" s="42"/>
      <c r="D2" s="42"/>
      <c r="E2" s="42"/>
      <c r="F2" s="42"/>
      <c r="G2" s="42"/>
      <c r="H2" s="42"/>
      <c r="I2" s="42"/>
    </row>
    <row r="3" spans="1:9" ht="18" x14ac:dyDescent="0.2">
      <c r="A3" s="3">
        <v>0.5</v>
      </c>
      <c r="B3" s="4">
        <f t="shared" ref="B3:I3" si="0">B$1*(3.996*0.01002*$A3)^(3/2)</f>
        <v>6.7983896073553332E-2</v>
      </c>
      <c r="C3" s="4">
        <f t="shared" si="0"/>
        <v>0.10197584411032999</v>
      </c>
      <c r="D3" s="4">
        <f t="shared" si="0"/>
        <v>0.13596779214710666</v>
      </c>
      <c r="E3" s="4">
        <f t="shared" si="0"/>
        <v>0.14729844149269888</v>
      </c>
      <c r="F3" s="4">
        <f t="shared" si="0"/>
        <v>0.15296376616549498</v>
      </c>
      <c r="G3" s="4">
        <f t="shared" si="0"/>
        <v>0.15579642850189304</v>
      </c>
      <c r="H3" s="21">
        <f t="shared" si="0"/>
        <v>0.1586290908382911</v>
      </c>
      <c r="I3" s="4">
        <f t="shared" si="0"/>
        <v>0.18695571420227167</v>
      </c>
    </row>
    <row r="4" spans="1:9" ht="18" x14ac:dyDescent="0.2">
      <c r="A4" s="3">
        <v>1</v>
      </c>
      <c r="B4" s="4">
        <f t="shared" ref="B4:F64" si="1">B$1*(3.996*0.01002*$A4)^(3/2)</f>
        <v>0.1922874957003643</v>
      </c>
      <c r="C4" s="4">
        <f t="shared" si="1"/>
        <v>0.28843124355054645</v>
      </c>
      <c r="D4" s="4">
        <f t="shared" si="1"/>
        <v>0.38457499140072859</v>
      </c>
      <c r="E4" s="4">
        <f t="shared" si="1"/>
        <v>0.41662290735078927</v>
      </c>
      <c r="F4" s="4">
        <f t="shared" si="1"/>
        <v>0.43264686532581964</v>
      </c>
      <c r="G4" s="4">
        <f t="shared" ref="G4:I64" si="2">G$1*(3.996*0.01002*$A4)^(3/2)</f>
        <v>0.4406588443133348</v>
      </c>
      <c r="H4" s="21">
        <f t="shared" si="2"/>
        <v>0.44867082330085001</v>
      </c>
      <c r="I4" s="4">
        <f t="shared" si="2"/>
        <v>0.52879061317600173</v>
      </c>
    </row>
    <row r="5" spans="1:9" ht="18" x14ac:dyDescent="0.2">
      <c r="A5" s="3">
        <v>1.5</v>
      </c>
      <c r="B5" s="4">
        <f t="shared" si="1"/>
        <v>0.35325468628763002</v>
      </c>
      <c r="C5" s="4">
        <f t="shared" si="1"/>
        <v>0.52988202943144502</v>
      </c>
      <c r="D5" s="4">
        <f t="shared" si="1"/>
        <v>0.70650937257526003</v>
      </c>
      <c r="E5" s="4">
        <f t="shared" si="1"/>
        <v>0.76538515362319837</v>
      </c>
      <c r="F5" s="4">
        <f t="shared" si="1"/>
        <v>0.79482304414716753</v>
      </c>
      <c r="G5" s="4">
        <f t="shared" si="2"/>
        <v>0.80954198940915212</v>
      </c>
      <c r="H5" s="21">
        <f t="shared" si="2"/>
        <v>0.8242609346711367</v>
      </c>
      <c r="I5" s="4">
        <f t="shared" si="2"/>
        <v>0.97145038729098254</v>
      </c>
    </row>
    <row r="6" spans="1:9" ht="18" x14ac:dyDescent="0.2">
      <c r="A6" s="3">
        <v>2</v>
      </c>
      <c r="B6" s="4">
        <f t="shared" si="1"/>
        <v>0.54387116858842677</v>
      </c>
      <c r="C6" s="4">
        <f t="shared" si="1"/>
        <v>0.81580675288264015</v>
      </c>
      <c r="D6" s="4">
        <f t="shared" si="1"/>
        <v>1.0877423371768535</v>
      </c>
      <c r="E6" s="4">
        <f t="shared" si="1"/>
        <v>1.1783875319415913</v>
      </c>
      <c r="F6" s="4">
        <f t="shared" si="1"/>
        <v>1.2237101293239603</v>
      </c>
      <c r="G6" s="4">
        <f t="shared" si="2"/>
        <v>1.2463714280151448</v>
      </c>
      <c r="H6" s="21">
        <f t="shared" si="2"/>
        <v>1.2690327267063293</v>
      </c>
      <c r="I6" s="4">
        <f t="shared" si="2"/>
        <v>1.4956457136181738</v>
      </c>
    </row>
    <row r="7" spans="1:9" ht="18" x14ac:dyDescent="0.2">
      <c r="A7" s="3">
        <v>2.5</v>
      </c>
      <c r="B7" s="4">
        <f t="shared" si="1"/>
        <v>0.7600830649787319</v>
      </c>
      <c r="C7" s="4">
        <f t="shared" si="1"/>
        <v>1.1401245974680978</v>
      </c>
      <c r="D7" s="4">
        <f t="shared" si="1"/>
        <v>1.5201661299574638</v>
      </c>
      <c r="E7" s="4">
        <f t="shared" si="1"/>
        <v>1.6468466407872524</v>
      </c>
      <c r="F7" s="4">
        <f t="shared" si="1"/>
        <v>1.7101868962021467</v>
      </c>
      <c r="G7" s="4">
        <f t="shared" si="2"/>
        <v>1.7418570239095938</v>
      </c>
      <c r="H7" s="21">
        <f t="shared" si="2"/>
        <v>1.7735271516170412</v>
      </c>
      <c r="I7" s="4">
        <f t="shared" si="2"/>
        <v>2.0902284286915127</v>
      </c>
    </row>
    <row r="8" spans="1:9" ht="18" x14ac:dyDescent="0.2">
      <c r="A8" s="3">
        <v>3</v>
      </c>
      <c r="B8" s="4">
        <f t="shared" si="1"/>
        <v>0.99915513663963895</v>
      </c>
      <c r="C8" s="4">
        <f t="shared" si="1"/>
        <v>1.4987327049594585</v>
      </c>
      <c r="D8" s="4">
        <f t="shared" si="1"/>
        <v>1.9983102732792779</v>
      </c>
      <c r="E8" s="4">
        <f t="shared" si="1"/>
        <v>2.1648361293858844</v>
      </c>
      <c r="F8" s="4">
        <f t="shared" si="1"/>
        <v>2.2480990574391879</v>
      </c>
      <c r="G8" s="4">
        <f t="shared" si="2"/>
        <v>2.2897305214658394</v>
      </c>
      <c r="H8" s="21">
        <f t="shared" si="2"/>
        <v>2.331361985492491</v>
      </c>
      <c r="I8" s="4">
        <f t="shared" si="2"/>
        <v>2.7476766257590071</v>
      </c>
    </row>
    <row r="9" spans="1:9" ht="18" x14ac:dyDescent="0.2">
      <c r="A9" s="3">
        <v>3.5</v>
      </c>
      <c r="B9" s="4">
        <f t="shared" si="1"/>
        <v>1.2590793751751785</v>
      </c>
      <c r="C9" s="4">
        <f t="shared" si="1"/>
        <v>1.8886190627627677</v>
      </c>
      <c r="D9" s="4">
        <f t="shared" si="1"/>
        <v>2.5181587503503571</v>
      </c>
      <c r="E9" s="4">
        <f t="shared" si="1"/>
        <v>2.7280053128795534</v>
      </c>
      <c r="F9" s="4">
        <f t="shared" si="1"/>
        <v>2.8329285941441515</v>
      </c>
      <c r="G9" s="4">
        <f t="shared" si="2"/>
        <v>2.8853902347764508</v>
      </c>
      <c r="H9" s="21">
        <f t="shared" si="2"/>
        <v>2.9378518754087501</v>
      </c>
      <c r="I9" s="4">
        <f t="shared" si="2"/>
        <v>3.4624682817317409</v>
      </c>
    </row>
    <row r="10" spans="1:9" ht="18" x14ac:dyDescent="0.2">
      <c r="A10" s="3">
        <v>4</v>
      </c>
      <c r="B10" s="4">
        <f t="shared" si="1"/>
        <v>1.5382999656029146</v>
      </c>
      <c r="C10" s="4">
        <f t="shared" si="1"/>
        <v>2.307449948404372</v>
      </c>
      <c r="D10" s="4">
        <f t="shared" si="1"/>
        <v>3.0765999312058292</v>
      </c>
      <c r="E10" s="4">
        <f t="shared" si="1"/>
        <v>3.3329832588063151</v>
      </c>
      <c r="F10" s="4">
        <f t="shared" si="1"/>
        <v>3.461174922606558</v>
      </c>
      <c r="G10" s="4">
        <f t="shared" si="2"/>
        <v>3.5252707545066793</v>
      </c>
      <c r="H10" s="21">
        <f t="shared" si="2"/>
        <v>3.5893665864068005</v>
      </c>
      <c r="I10" s="4">
        <f t="shared" si="2"/>
        <v>4.2303249054080148</v>
      </c>
    </row>
    <row r="11" spans="1:9" ht="18" x14ac:dyDescent="0.2">
      <c r="A11" s="3">
        <v>4.5</v>
      </c>
      <c r="B11" s="4">
        <f t="shared" si="1"/>
        <v>1.8355651939859408</v>
      </c>
      <c r="C11" s="4">
        <f t="shared" si="1"/>
        <v>2.753347790978911</v>
      </c>
      <c r="D11" s="4">
        <f t="shared" si="1"/>
        <v>3.6711303879718815</v>
      </c>
      <c r="E11" s="4">
        <f t="shared" si="1"/>
        <v>3.9770579203028715</v>
      </c>
      <c r="F11" s="4">
        <f t="shared" si="1"/>
        <v>4.1300216864683668</v>
      </c>
      <c r="G11" s="4">
        <f t="shared" si="2"/>
        <v>4.2065035695511144</v>
      </c>
      <c r="H11" s="21">
        <f t="shared" si="2"/>
        <v>4.282985452633862</v>
      </c>
      <c r="I11" s="4">
        <f t="shared" si="2"/>
        <v>5.0478042834613372</v>
      </c>
    </row>
    <row r="12" spans="1:9" ht="18" x14ac:dyDescent="0.2">
      <c r="A12" s="3">
        <v>5</v>
      </c>
      <c r="B12" s="4">
        <f t="shared" si="1"/>
        <v>2.1498395580460659</v>
      </c>
      <c r="C12" s="4">
        <f t="shared" si="1"/>
        <v>3.2247593370690986</v>
      </c>
      <c r="D12" s="4">
        <f t="shared" si="1"/>
        <v>4.2996791160921317</v>
      </c>
      <c r="E12" s="4">
        <f t="shared" si="1"/>
        <v>4.6579857090998091</v>
      </c>
      <c r="F12" s="4">
        <f t="shared" si="1"/>
        <v>4.8371390056036478</v>
      </c>
      <c r="G12" s="4">
        <f t="shared" si="2"/>
        <v>4.9267156538555676</v>
      </c>
      <c r="H12" s="21">
        <f t="shared" si="2"/>
        <v>5.0162923021074874</v>
      </c>
      <c r="I12" s="4">
        <f t="shared" si="2"/>
        <v>5.912058784626681</v>
      </c>
    </row>
    <row r="13" spans="1:9" ht="18" x14ac:dyDescent="0.2">
      <c r="A13" s="3">
        <v>5.5</v>
      </c>
      <c r="B13" s="4">
        <f t="shared" si="1"/>
        <v>2.4802478256874139</v>
      </c>
      <c r="C13" s="4">
        <f t="shared" si="1"/>
        <v>3.7203717385311204</v>
      </c>
      <c r="D13" s="4">
        <f t="shared" si="1"/>
        <v>4.9604956513748277</v>
      </c>
      <c r="E13" s="4">
        <f t="shared" si="1"/>
        <v>5.3738702889893961</v>
      </c>
      <c r="F13" s="4">
        <f t="shared" si="1"/>
        <v>5.5805576077966803</v>
      </c>
      <c r="G13" s="4">
        <f t="shared" si="2"/>
        <v>5.6839012672003228</v>
      </c>
      <c r="H13" s="21">
        <f t="shared" si="2"/>
        <v>5.7872449266039654</v>
      </c>
      <c r="I13" s="4">
        <f t="shared" si="2"/>
        <v>6.8206815206403872</v>
      </c>
    </row>
    <row r="14" spans="1:9" ht="18" x14ac:dyDescent="0.2">
      <c r="A14" s="3">
        <v>6</v>
      </c>
      <c r="B14" s="4">
        <f t="shared" si="1"/>
        <v>2.826037490301041</v>
      </c>
      <c r="C14" s="4">
        <f t="shared" si="1"/>
        <v>4.239056235451562</v>
      </c>
      <c r="D14" s="4">
        <f t="shared" si="1"/>
        <v>5.652074980602082</v>
      </c>
      <c r="E14" s="4">
        <f t="shared" si="1"/>
        <v>6.1230812289855887</v>
      </c>
      <c r="F14" s="4">
        <f t="shared" si="1"/>
        <v>6.3585843531773429</v>
      </c>
      <c r="G14" s="4">
        <f t="shared" si="2"/>
        <v>6.4763359152732196</v>
      </c>
      <c r="H14" s="21">
        <f t="shared" si="2"/>
        <v>6.5940874773690963</v>
      </c>
      <c r="I14" s="4">
        <f t="shared" si="2"/>
        <v>7.771603098327863</v>
      </c>
    </row>
    <row r="15" spans="1:9" ht="18" x14ac:dyDescent="0.2">
      <c r="A15" s="3">
        <v>6.5</v>
      </c>
      <c r="B15" s="4">
        <f t="shared" si="1"/>
        <v>3.1865525015871503</v>
      </c>
      <c r="C15" s="4">
        <f t="shared" si="1"/>
        <v>4.7798287523807259</v>
      </c>
      <c r="D15" s="4">
        <f t="shared" si="1"/>
        <v>6.3731050031743006</v>
      </c>
      <c r="E15" s="4">
        <f t="shared" si="1"/>
        <v>6.9041970867721592</v>
      </c>
      <c r="F15" s="4">
        <f t="shared" si="1"/>
        <v>7.1697431285710884</v>
      </c>
      <c r="G15" s="4">
        <f t="shared" si="2"/>
        <v>7.3025161494705531</v>
      </c>
      <c r="H15" s="21">
        <f t="shared" si="2"/>
        <v>7.4352891703700177</v>
      </c>
      <c r="I15" s="4">
        <f t="shared" si="2"/>
        <v>8.763019379364664</v>
      </c>
    </row>
    <row r="16" spans="1:9" ht="18" x14ac:dyDescent="0.2">
      <c r="A16" s="3">
        <v>7</v>
      </c>
      <c r="B16" s="4">
        <f t="shared" si="1"/>
        <v>3.56121425695396</v>
      </c>
      <c r="C16" s="4">
        <f t="shared" si="1"/>
        <v>5.34182138543094</v>
      </c>
      <c r="D16" s="4">
        <f t="shared" si="1"/>
        <v>7.12242851390792</v>
      </c>
      <c r="E16" s="4">
        <f t="shared" si="1"/>
        <v>7.7159642234002472</v>
      </c>
      <c r="F16" s="4">
        <f t="shared" si="1"/>
        <v>8.01273207814641</v>
      </c>
      <c r="G16" s="4">
        <f t="shared" si="2"/>
        <v>8.1611160055194922</v>
      </c>
      <c r="H16" s="21">
        <f t="shared" si="2"/>
        <v>8.3094999328925745</v>
      </c>
      <c r="I16" s="4">
        <f t="shared" si="2"/>
        <v>9.79333920662339</v>
      </c>
    </row>
    <row r="17" spans="1:9" ht="18" x14ac:dyDescent="0.2">
      <c r="A17" s="3">
        <v>7.5</v>
      </c>
      <c r="B17" s="4">
        <f t="shared" si="1"/>
        <v>3.9495074595475184</v>
      </c>
      <c r="C17" s="4">
        <f t="shared" si="1"/>
        <v>5.9242611893212773</v>
      </c>
      <c r="D17" s="4">
        <f t="shared" si="1"/>
        <v>7.8990149190950367</v>
      </c>
      <c r="E17" s="4">
        <f t="shared" si="1"/>
        <v>8.5572661623529562</v>
      </c>
      <c r="F17" s="4">
        <f t="shared" si="1"/>
        <v>8.8863917839819155</v>
      </c>
      <c r="G17" s="4">
        <f t="shared" si="2"/>
        <v>9.0509545947963961</v>
      </c>
      <c r="H17" s="21">
        <f t="shared" si="2"/>
        <v>9.2155174056108766</v>
      </c>
      <c r="I17" s="4">
        <f t="shared" si="2"/>
        <v>10.861145513755675</v>
      </c>
    </row>
    <row r="18" spans="1:9" ht="18" x14ac:dyDescent="0.2">
      <c r="A18" s="3">
        <v>8</v>
      </c>
      <c r="B18" s="4">
        <f t="shared" si="1"/>
        <v>4.3509693487074159</v>
      </c>
      <c r="C18" s="4">
        <f t="shared" si="1"/>
        <v>6.5264540230611239</v>
      </c>
      <c r="D18" s="4">
        <f t="shared" si="1"/>
        <v>8.7019386974148318</v>
      </c>
      <c r="E18" s="4">
        <f t="shared" si="1"/>
        <v>9.4271002555327339</v>
      </c>
      <c r="F18" s="4">
        <f t="shared" si="1"/>
        <v>9.7896810345916858</v>
      </c>
      <c r="G18" s="4">
        <f t="shared" si="2"/>
        <v>9.9709714241211618</v>
      </c>
      <c r="H18" s="21">
        <f t="shared" si="2"/>
        <v>10.152261813650636</v>
      </c>
      <c r="I18" s="4">
        <f t="shared" si="2"/>
        <v>11.965165708945394</v>
      </c>
    </row>
    <row r="19" spans="1:9" ht="18" x14ac:dyDescent="0.2">
      <c r="A19" s="3">
        <v>8.5</v>
      </c>
      <c r="B19" s="4">
        <f t="shared" si="1"/>
        <v>4.7651813339886626</v>
      </c>
      <c r="C19" s="4">
        <f t="shared" si="1"/>
        <v>7.147772000982993</v>
      </c>
      <c r="D19" s="4">
        <f t="shared" si="1"/>
        <v>9.5303626679773252</v>
      </c>
      <c r="E19" s="4">
        <f t="shared" si="1"/>
        <v>10.324559556975435</v>
      </c>
      <c r="F19" s="4">
        <f t="shared" si="1"/>
        <v>10.72165800147449</v>
      </c>
      <c r="G19" s="4">
        <f t="shared" si="2"/>
        <v>10.920207223724017</v>
      </c>
      <c r="H19" s="21">
        <f t="shared" si="2"/>
        <v>11.118756445973546</v>
      </c>
      <c r="I19" s="4">
        <f t="shared" si="2"/>
        <v>13.104248668468822</v>
      </c>
    </row>
    <row r="20" spans="1:9" ht="18" x14ac:dyDescent="0.2">
      <c r="A20" s="3">
        <v>9</v>
      </c>
      <c r="B20" s="4">
        <f t="shared" si="1"/>
        <v>5.1917623839098361</v>
      </c>
      <c r="C20" s="4">
        <f t="shared" si="1"/>
        <v>7.7876435758647533</v>
      </c>
      <c r="D20" s="4">
        <f t="shared" si="1"/>
        <v>10.383524767819672</v>
      </c>
      <c r="E20" s="4">
        <f t="shared" si="1"/>
        <v>11.24881849847131</v>
      </c>
      <c r="F20" s="4">
        <f t="shared" si="1"/>
        <v>11.68146536379713</v>
      </c>
      <c r="G20" s="4">
        <f t="shared" si="2"/>
        <v>11.89778879646004</v>
      </c>
      <c r="H20" s="21">
        <f t="shared" si="2"/>
        <v>12.11411222912295</v>
      </c>
      <c r="I20" s="4">
        <f t="shared" si="2"/>
        <v>14.277346555752048</v>
      </c>
    </row>
    <row r="21" spans="1:9" ht="18" x14ac:dyDescent="0.2">
      <c r="A21" s="3">
        <v>9.5</v>
      </c>
      <c r="B21" s="4">
        <f t="shared" si="1"/>
        <v>5.6303637226830228</v>
      </c>
      <c r="C21" s="4">
        <f t="shared" si="1"/>
        <v>8.4455455840245346</v>
      </c>
      <c r="D21" s="4">
        <f t="shared" si="1"/>
        <v>11.260727445366046</v>
      </c>
      <c r="E21" s="4">
        <f t="shared" si="1"/>
        <v>12.19912139914655</v>
      </c>
      <c r="F21" s="4">
        <f t="shared" si="1"/>
        <v>12.668318376036801</v>
      </c>
      <c r="G21" s="4">
        <f t="shared" si="2"/>
        <v>12.902916864481927</v>
      </c>
      <c r="H21" s="21">
        <f t="shared" si="2"/>
        <v>13.137515352927053</v>
      </c>
      <c r="I21" s="4">
        <f t="shared" si="2"/>
        <v>15.483500237378314</v>
      </c>
    </row>
    <row r="22" spans="1:9" ht="18" x14ac:dyDescent="0.2">
      <c r="A22" s="3">
        <v>10</v>
      </c>
      <c r="B22" s="4">
        <f t="shared" si="1"/>
        <v>6.0806645198298543</v>
      </c>
      <c r="C22" s="4">
        <f t="shared" si="1"/>
        <v>9.1209967797447806</v>
      </c>
      <c r="D22" s="4">
        <f t="shared" si="1"/>
        <v>12.161329039659709</v>
      </c>
      <c r="E22" s="4">
        <f t="shared" si="1"/>
        <v>13.174773126298017</v>
      </c>
      <c r="F22" s="4">
        <f t="shared" si="1"/>
        <v>13.681495169617172</v>
      </c>
      <c r="G22" s="4">
        <f t="shared" si="2"/>
        <v>13.934856191276749</v>
      </c>
      <c r="H22" s="21">
        <f t="shared" si="2"/>
        <v>14.188217212936326</v>
      </c>
      <c r="I22" s="4">
        <f t="shared" si="2"/>
        <v>16.721827429532098</v>
      </c>
    </row>
    <row r="23" spans="1:9" ht="18" x14ac:dyDescent="0.2">
      <c r="A23" s="3">
        <v>10.5</v>
      </c>
      <c r="B23" s="4">
        <f t="shared" si="1"/>
        <v>6.5423683456964579</v>
      </c>
      <c r="C23" s="4">
        <f t="shared" si="1"/>
        <v>9.8135525185446859</v>
      </c>
      <c r="D23" s="4">
        <f t="shared" si="1"/>
        <v>13.084736691392916</v>
      </c>
      <c r="E23" s="4">
        <f t="shared" si="1"/>
        <v>14.175131415675658</v>
      </c>
      <c r="F23" s="4">
        <f t="shared" ref="F23:F64" si="3">F$1*(3.996*0.01002*$A23)^(3/2)</f>
        <v>14.720328777817031</v>
      </c>
      <c r="G23" s="4">
        <f t="shared" si="2"/>
        <v>14.992927458887715</v>
      </c>
      <c r="H23" s="21">
        <f t="shared" si="2"/>
        <v>15.265526139958402</v>
      </c>
      <c r="I23" s="4">
        <f t="shared" si="2"/>
        <v>17.99151295066526</v>
      </c>
    </row>
    <row r="24" spans="1:9" ht="18" x14ac:dyDescent="0.2">
      <c r="A24" s="3">
        <v>11</v>
      </c>
      <c r="B24" s="4">
        <f t="shared" si="1"/>
        <v>7.0152002262670425</v>
      </c>
      <c r="C24" s="4">
        <f t="shared" si="1"/>
        <v>10.522800339400565</v>
      </c>
      <c r="D24" s="4">
        <f t="shared" si="1"/>
        <v>14.030400452534085</v>
      </c>
      <c r="E24" s="4">
        <f t="shared" si="1"/>
        <v>15.19960049024526</v>
      </c>
      <c r="F24" s="4">
        <f t="shared" si="3"/>
        <v>15.784200509100845</v>
      </c>
      <c r="G24" s="4">
        <f t="shared" si="2"/>
        <v>16.07650051852864</v>
      </c>
      <c r="H24" s="21">
        <f t="shared" si="2"/>
        <v>16.368800527956431</v>
      </c>
      <c r="I24" s="4">
        <f t="shared" si="2"/>
        <v>19.291800622234366</v>
      </c>
    </row>
    <row r="25" spans="1:9" ht="18" x14ac:dyDescent="0.2">
      <c r="A25" s="3">
        <v>11.5</v>
      </c>
      <c r="B25" s="4">
        <f t="shared" si="1"/>
        <v>7.4989041729447496</v>
      </c>
      <c r="C25" s="4">
        <f t="shared" si="1"/>
        <v>11.248356259417124</v>
      </c>
      <c r="D25" s="4">
        <f t="shared" si="1"/>
        <v>14.997808345889499</v>
      </c>
      <c r="E25" s="4">
        <f t="shared" si="1"/>
        <v>16.247625708046957</v>
      </c>
      <c r="F25" s="4">
        <f t="shared" si="3"/>
        <v>16.872534389125686</v>
      </c>
      <c r="G25" s="4">
        <f t="shared" si="2"/>
        <v>17.184988729665051</v>
      </c>
      <c r="H25" s="21">
        <f t="shared" si="2"/>
        <v>17.497443070204415</v>
      </c>
      <c r="I25" s="4">
        <f t="shared" si="2"/>
        <v>20.62198647559806</v>
      </c>
    </row>
    <row r="26" spans="1:9" ht="18" x14ac:dyDescent="0.2">
      <c r="A26" s="3">
        <v>12</v>
      </c>
      <c r="B26" s="4">
        <f t="shared" si="1"/>
        <v>7.9932410931171116</v>
      </c>
      <c r="C26" s="4">
        <f t="shared" si="1"/>
        <v>11.989861639675668</v>
      </c>
      <c r="D26" s="4">
        <f t="shared" si="1"/>
        <v>15.986482186234223</v>
      </c>
      <c r="E26" s="4">
        <f t="shared" si="1"/>
        <v>17.318689035087075</v>
      </c>
      <c r="F26" s="4">
        <f t="shared" si="3"/>
        <v>17.984792459513503</v>
      </c>
      <c r="G26" s="4">
        <f t="shared" si="2"/>
        <v>18.317844171726716</v>
      </c>
      <c r="H26" s="21">
        <f t="shared" si="2"/>
        <v>18.650895883939928</v>
      </c>
      <c r="I26" s="4">
        <f t="shared" si="2"/>
        <v>21.981413006072057</v>
      </c>
    </row>
    <row r="27" spans="1:9" ht="18" x14ac:dyDescent="0.2">
      <c r="A27" s="3">
        <v>12.5</v>
      </c>
      <c r="B27" s="4">
        <f t="shared" si="1"/>
        <v>8.4979870091941692</v>
      </c>
      <c r="C27" s="4">
        <f t="shared" si="1"/>
        <v>12.746980513791254</v>
      </c>
      <c r="D27" s="4">
        <f t="shared" si="1"/>
        <v>16.995974018388338</v>
      </c>
      <c r="E27" s="4">
        <f t="shared" si="1"/>
        <v>18.412305186587368</v>
      </c>
      <c r="F27" s="4">
        <f t="shared" si="3"/>
        <v>19.120470770686882</v>
      </c>
      <c r="G27" s="4">
        <f t="shared" si="2"/>
        <v>19.474553562736638</v>
      </c>
      <c r="H27" s="21">
        <f t="shared" si="2"/>
        <v>19.828636354786397</v>
      </c>
      <c r="I27" s="4">
        <f t="shared" si="2"/>
        <v>23.369464275283967</v>
      </c>
    </row>
    <row r="28" spans="1:9" ht="18" x14ac:dyDescent="0.2">
      <c r="A28" s="3">
        <v>13</v>
      </c>
      <c r="B28" s="4">
        <f t="shared" si="1"/>
        <v>9.0129315299169228</v>
      </c>
      <c r="C28" s="4">
        <f t="shared" si="1"/>
        <v>13.519397294875382</v>
      </c>
      <c r="D28" s="4">
        <f t="shared" si="1"/>
        <v>18.025863059833846</v>
      </c>
      <c r="E28" s="4">
        <f t="shared" si="1"/>
        <v>19.528018314819999</v>
      </c>
      <c r="F28" s="4">
        <f t="shared" si="3"/>
        <v>20.279095942313074</v>
      </c>
      <c r="G28" s="4">
        <f t="shared" si="2"/>
        <v>20.654634756059611</v>
      </c>
      <c r="H28" s="21">
        <f t="shared" si="2"/>
        <v>21.030173569806152</v>
      </c>
      <c r="I28" s="4">
        <f t="shared" si="2"/>
        <v>24.785561707271537</v>
      </c>
    </row>
    <row r="29" spans="1:9" ht="18" x14ac:dyDescent="0.2">
      <c r="A29" s="3">
        <v>13.5</v>
      </c>
      <c r="B29" s="4">
        <f t="shared" si="1"/>
        <v>9.5378765297660166</v>
      </c>
      <c r="C29" s="4">
        <f t="shared" si="1"/>
        <v>14.306814794649023</v>
      </c>
      <c r="D29" s="4">
        <f t="shared" si="1"/>
        <v>19.075753059532033</v>
      </c>
      <c r="E29" s="4">
        <f t="shared" si="1"/>
        <v>20.665399147826367</v>
      </c>
      <c r="F29" s="4">
        <f t="shared" si="3"/>
        <v>21.460222191973536</v>
      </c>
      <c r="G29" s="4">
        <f t="shared" si="2"/>
        <v>21.857633714047118</v>
      </c>
      <c r="H29" s="21">
        <f t="shared" si="2"/>
        <v>22.255045236120704</v>
      </c>
      <c r="I29" s="4">
        <f t="shared" si="2"/>
        <v>26.229160456856544</v>
      </c>
    </row>
    <row r="30" spans="1:9" ht="18" x14ac:dyDescent="0.2">
      <c r="A30" s="3">
        <v>14</v>
      </c>
      <c r="B30" s="4">
        <f t="shared" si="1"/>
        <v>10.072635001401428</v>
      </c>
      <c r="C30" s="4">
        <f t="shared" si="1"/>
        <v>15.108952502102142</v>
      </c>
      <c r="D30" s="4">
        <f t="shared" si="1"/>
        <v>20.145270002802857</v>
      </c>
      <c r="E30" s="4">
        <f t="shared" si="1"/>
        <v>21.824042503036427</v>
      </c>
      <c r="F30" s="4">
        <f t="shared" si="3"/>
        <v>22.663428753153212</v>
      </c>
      <c r="G30" s="4">
        <f t="shared" si="2"/>
        <v>23.083121878211607</v>
      </c>
      <c r="H30" s="21">
        <f t="shared" si="2"/>
        <v>23.502815003270001</v>
      </c>
      <c r="I30" s="4">
        <f t="shared" si="2"/>
        <v>27.699746253853927</v>
      </c>
    </row>
    <row r="31" spans="1:9" ht="18" x14ac:dyDescent="0.2">
      <c r="A31" s="3">
        <v>14.5</v>
      </c>
      <c r="B31" s="4">
        <f t="shared" ref="B31:I40" si="4">B$1*(3.996*0.01002*$A31)^(3/2)</f>
        <v>10.617030053028484</v>
      </c>
      <c r="C31" s="4">
        <f t="shared" si="4"/>
        <v>15.925545079542728</v>
      </c>
      <c r="D31" s="4">
        <f t="shared" si="4"/>
        <v>21.234060106056969</v>
      </c>
      <c r="E31" s="4">
        <f t="shared" si="4"/>
        <v>23.00356511489505</v>
      </c>
      <c r="F31" s="4">
        <f t="shared" si="4"/>
        <v>23.88831761931409</v>
      </c>
      <c r="G31" s="4">
        <f t="shared" si="4"/>
        <v>24.330693871523611</v>
      </c>
      <c r="H31" s="21">
        <f t="shared" si="4"/>
        <v>24.773070123733131</v>
      </c>
      <c r="I31" s="4">
        <f t="shared" si="4"/>
        <v>29.196832645828334</v>
      </c>
    </row>
    <row r="32" spans="1:9" ht="18" x14ac:dyDescent="0.2">
      <c r="A32" s="3">
        <v>15</v>
      </c>
      <c r="B32" s="4">
        <f t="shared" si="4"/>
        <v>11.170894027971618</v>
      </c>
      <c r="C32" s="4">
        <f t="shared" si="4"/>
        <v>16.756341041957427</v>
      </c>
      <c r="D32" s="4">
        <f t="shared" si="4"/>
        <v>22.341788055943237</v>
      </c>
      <c r="E32" s="4">
        <f t="shared" si="4"/>
        <v>24.20360372727184</v>
      </c>
      <c r="F32" s="4">
        <f t="shared" si="4"/>
        <v>25.134511562936144</v>
      </c>
      <c r="G32" s="4">
        <f t="shared" si="4"/>
        <v>25.599965480768294</v>
      </c>
      <c r="H32" s="21">
        <f t="shared" si="4"/>
        <v>26.065419398600444</v>
      </c>
      <c r="I32" s="4">
        <f t="shared" si="4"/>
        <v>30.71995857692195</v>
      </c>
    </row>
    <row r="33" spans="1:9" ht="18" x14ac:dyDescent="0.2">
      <c r="A33" s="3">
        <v>15.5</v>
      </c>
      <c r="B33" s="4">
        <f t="shared" si="4"/>
        <v>11.73406772794478</v>
      </c>
      <c r="C33" s="4">
        <f t="shared" si="4"/>
        <v>17.601101591917168</v>
      </c>
      <c r="D33" s="4">
        <f t="shared" si="4"/>
        <v>23.468135455889559</v>
      </c>
      <c r="E33" s="4">
        <f t="shared" si="4"/>
        <v>25.423813410547023</v>
      </c>
      <c r="F33" s="4">
        <f t="shared" si="4"/>
        <v>26.401652387875753</v>
      </c>
      <c r="G33" s="4">
        <f t="shared" si="4"/>
        <v>26.890571876540118</v>
      </c>
      <c r="H33" s="21">
        <f t="shared" si="4"/>
        <v>27.379491365204483</v>
      </c>
      <c r="I33" s="4">
        <f t="shared" si="4"/>
        <v>32.268686251848145</v>
      </c>
    </row>
    <row r="34" spans="1:9" ht="18" x14ac:dyDescent="0.2">
      <c r="A34" s="3">
        <v>16</v>
      </c>
      <c r="B34" s="4">
        <f t="shared" si="4"/>
        <v>12.306399724823317</v>
      </c>
      <c r="C34" s="4">
        <f t="shared" si="4"/>
        <v>18.459599587234976</v>
      </c>
      <c r="D34" s="4">
        <f t="shared" si="4"/>
        <v>24.612799449646634</v>
      </c>
      <c r="E34" s="4">
        <f t="shared" si="4"/>
        <v>26.663866070450521</v>
      </c>
      <c r="F34" s="4">
        <f t="shared" si="4"/>
        <v>27.689399380852464</v>
      </c>
      <c r="G34" s="4">
        <f t="shared" si="4"/>
        <v>28.202166036053434</v>
      </c>
      <c r="H34" s="21">
        <f t="shared" si="4"/>
        <v>28.714932691254404</v>
      </c>
      <c r="I34" s="4">
        <f t="shared" si="4"/>
        <v>33.842599243264118</v>
      </c>
    </row>
    <row r="35" spans="1:9" ht="18" x14ac:dyDescent="0.2">
      <c r="A35" s="3">
        <v>16.5</v>
      </c>
      <c r="B35" s="4">
        <f t="shared" si="4"/>
        <v>12.887745748358512</v>
      </c>
      <c r="C35" s="4">
        <f t="shared" si="4"/>
        <v>19.331618622537768</v>
      </c>
      <c r="D35" s="4">
        <f t="shared" si="4"/>
        <v>25.775491496717024</v>
      </c>
      <c r="E35" s="4">
        <f t="shared" si="4"/>
        <v>27.92344912144344</v>
      </c>
      <c r="F35" s="4">
        <f t="shared" si="4"/>
        <v>28.997427933806648</v>
      </c>
      <c r="G35" s="4">
        <f t="shared" si="4"/>
        <v>29.534417339988256</v>
      </c>
      <c r="H35" s="21">
        <f t="shared" si="4"/>
        <v>30.07140674616986</v>
      </c>
      <c r="I35" s="4">
        <f t="shared" si="4"/>
        <v>35.441300807985904</v>
      </c>
    </row>
    <row r="36" spans="1:9" ht="18" x14ac:dyDescent="0.2">
      <c r="A36" s="3">
        <v>17</v>
      </c>
      <c r="B36" s="4">
        <f t="shared" si="4"/>
        <v>13.477968139387762</v>
      </c>
      <c r="C36" s="4">
        <f t="shared" si="4"/>
        <v>20.216952209081644</v>
      </c>
      <c r="D36" s="4">
        <f t="shared" si="4"/>
        <v>26.955936278775525</v>
      </c>
      <c r="E36" s="4">
        <f t="shared" si="4"/>
        <v>29.202264302006821</v>
      </c>
      <c r="F36" s="4">
        <f t="shared" si="4"/>
        <v>30.325428313622467</v>
      </c>
      <c r="G36" s="4">
        <f t="shared" si="4"/>
        <v>30.887010319430292</v>
      </c>
      <c r="H36" s="21">
        <f t="shared" si="4"/>
        <v>31.448592325238113</v>
      </c>
      <c r="I36" s="4">
        <f t="shared" si="4"/>
        <v>37.064412383316352</v>
      </c>
    </row>
    <row r="37" spans="1:9" ht="18" x14ac:dyDescent="0.2">
      <c r="A37" s="3">
        <v>17.5</v>
      </c>
      <c r="B37" s="4">
        <f t="shared" si="4"/>
        <v>14.076935359798302</v>
      </c>
      <c r="C37" s="4">
        <f t="shared" si="4"/>
        <v>21.115403039697451</v>
      </c>
      <c r="D37" s="4">
        <f t="shared" si="4"/>
        <v>28.153870719596604</v>
      </c>
      <c r="E37" s="4">
        <f t="shared" si="4"/>
        <v>30.50002661289632</v>
      </c>
      <c r="F37" s="4">
        <f t="shared" si="4"/>
        <v>31.673104559546179</v>
      </c>
      <c r="G37" s="4">
        <f t="shared" si="4"/>
        <v>32.25964353287111</v>
      </c>
      <c r="H37" s="21">
        <f t="shared" si="4"/>
        <v>32.846182506196037</v>
      </c>
      <c r="I37" s="4">
        <f t="shared" si="4"/>
        <v>38.711572239445331</v>
      </c>
    </row>
    <row r="38" spans="1:9" ht="18" x14ac:dyDescent="0.2">
      <c r="A38" s="3">
        <v>18</v>
      </c>
      <c r="B38" s="4">
        <f t="shared" si="4"/>
        <v>14.684521551887524</v>
      </c>
      <c r="C38" s="4">
        <f t="shared" si="4"/>
        <v>22.026782327831285</v>
      </c>
      <c r="D38" s="4">
        <f t="shared" si="4"/>
        <v>29.369043103775049</v>
      </c>
      <c r="E38" s="4">
        <f t="shared" si="4"/>
        <v>31.816463362422969</v>
      </c>
      <c r="F38" s="4">
        <f t="shared" si="4"/>
        <v>33.040173491746927</v>
      </c>
      <c r="G38" s="4">
        <f t="shared" si="4"/>
        <v>33.652028556408908</v>
      </c>
      <c r="H38" s="21">
        <f t="shared" si="4"/>
        <v>34.263883621070889</v>
      </c>
      <c r="I38" s="4">
        <f t="shared" si="4"/>
        <v>40.382434267690691</v>
      </c>
    </row>
    <row r="39" spans="1:9" ht="18" x14ac:dyDescent="0.2">
      <c r="A39" s="3">
        <v>18.5</v>
      </c>
      <c r="B39" s="4">
        <f t="shared" si="4"/>
        <v>15.300606140896248</v>
      </c>
      <c r="C39" s="4">
        <f t="shared" si="4"/>
        <v>22.950909211344371</v>
      </c>
      <c r="D39" s="4">
        <f t="shared" si="4"/>
        <v>30.601212281792495</v>
      </c>
      <c r="E39" s="4">
        <f t="shared" si="4"/>
        <v>33.151313305275202</v>
      </c>
      <c r="F39" s="4">
        <f t="shared" si="4"/>
        <v>34.426363817016558</v>
      </c>
      <c r="G39" s="4">
        <f t="shared" si="4"/>
        <v>35.063889072887235</v>
      </c>
      <c r="H39" s="21">
        <f t="shared" si="4"/>
        <v>35.701414328757913</v>
      </c>
      <c r="I39" s="4">
        <f t="shared" si="4"/>
        <v>42.076666887464683</v>
      </c>
    </row>
    <row r="40" spans="1:9" ht="18" x14ac:dyDescent="0.2">
      <c r="A40" s="3">
        <v>19</v>
      </c>
      <c r="B40" s="4">
        <f t="shared" si="4"/>
        <v>15.925073475423597</v>
      </c>
      <c r="C40" s="4">
        <f t="shared" si="4"/>
        <v>23.887610213135396</v>
      </c>
      <c r="D40" s="4">
        <f t="shared" si="4"/>
        <v>31.850146950847193</v>
      </c>
      <c r="E40" s="4">
        <f t="shared" si="4"/>
        <v>34.50432586341779</v>
      </c>
      <c r="F40" s="4">
        <f t="shared" si="4"/>
        <v>35.83141531970309</v>
      </c>
      <c r="G40" s="4">
        <f t="shared" si="4"/>
        <v>36.494960047845744</v>
      </c>
      <c r="H40" s="21">
        <f t="shared" si="4"/>
        <v>37.158504775988391</v>
      </c>
      <c r="I40" s="4">
        <f t="shared" si="4"/>
        <v>43.793952057414891</v>
      </c>
    </row>
    <row r="41" spans="1:9" ht="18" x14ac:dyDescent="0.2">
      <c r="A41" s="3">
        <v>19.5</v>
      </c>
      <c r="B41" s="4">
        <f t="shared" ref="B41:I50" si="5">B$1*(3.996*0.01002*$A41)^(3/2)</f>
        <v>16.557812501203948</v>
      </c>
      <c r="C41" s="4">
        <f t="shared" si="5"/>
        <v>24.836718751805925</v>
      </c>
      <c r="D41" s="4">
        <f t="shared" si="5"/>
        <v>33.115625002407896</v>
      </c>
      <c r="E41" s="4">
        <f t="shared" si="5"/>
        <v>35.875260419275222</v>
      </c>
      <c r="F41" s="4">
        <f t="shared" si="5"/>
        <v>37.255078127708884</v>
      </c>
      <c r="G41" s="4">
        <f t="shared" si="5"/>
        <v>37.944986981925716</v>
      </c>
      <c r="H41" s="21">
        <f t="shared" si="5"/>
        <v>38.634895836142547</v>
      </c>
      <c r="I41" s="4">
        <f t="shared" si="5"/>
        <v>45.533984378310862</v>
      </c>
    </row>
    <row r="42" spans="1:9" ht="18" x14ac:dyDescent="0.2">
      <c r="A42" s="3">
        <v>20</v>
      </c>
      <c r="B42" s="4">
        <f t="shared" si="5"/>
        <v>17.198716464368527</v>
      </c>
      <c r="C42" s="4">
        <f t="shared" si="5"/>
        <v>25.798074696552789</v>
      </c>
      <c r="D42" s="4">
        <f t="shared" si="5"/>
        <v>34.397432928737054</v>
      </c>
      <c r="E42" s="4">
        <f t="shared" si="5"/>
        <v>37.263885672798473</v>
      </c>
      <c r="F42" s="4">
        <f t="shared" si="5"/>
        <v>38.697112044829183</v>
      </c>
      <c r="G42" s="4">
        <f t="shared" si="5"/>
        <v>39.413725230844541</v>
      </c>
      <c r="H42" s="21">
        <f t="shared" si="5"/>
        <v>40.1303384168599</v>
      </c>
      <c r="I42" s="4">
        <f t="shared" si="5"/>
        <v>47.296470277013448</v>
      </c>
    </row>
    <row r="43" spans="1:9" ht="18" x14ac:dyDescent="0.2">
      <c r="A43" s="3">
        <v>21</v>
      </c>
      <c r="B43" s="4">
        <f t="shared" si="5"/>
        <v>18.50461208904872</v>
      </c>
      <c r="C43" s="4">
        <f t="shared" si="5"/>
        <v>27.756918133573077</v>
      </c>
      <c r="D43" s="4">
        <f t="shared" si="5"/>
        <v>37.00922417809744</v>
      </c>
      <c r="E43" s="4">
        <f t="shared" si="5"/>
        <v>40.093326192938889</v>
      </c>
      <c r="F43" s="4">
        <f t="shared" si="5"/>
        <v>41.635377200359613</v>
      </c>
      <c r="G43" s="4">
        <f t="shared" si="5"/>
        <v>42.406402704069983</v>
      </c>
      <c r="H43" s="21">
        <f t="shared" si="5"/>
        <v>43.177428207780345</v>
      </c>
      <c r="I43" s="4">
        <f t="shared" si="5"/>
        <v>50.887683244883974</v>
      </c>
    </row>
    <row r="44" spans="1:9" ht="18" x14ac:dyDescent="0.2">
      <c r="A44" s="3">
        <v>22</v>
      </c>
      <c r="B44" s="4">
        <f t="shared" si="5"/>
        <v>19.841982605499314</v>
      </c>
      <c r="C44" s="4">
        <f t="shared" si="5"/>
        <v>29.762973908248973</v>
      </c>
      <c r="D44" s="4">
        <f t="shared" si="5"/>
        <v>39.683965210998629</v>
      </c>
      <c r="E44" s="4">
        <f t="shared" si="5"/>
        <v>42.990962311915183</v>
      </c>
      <c r="F44" s="4">
        <f t="shared" si="5"/>
        <v>44.644460862373457</v>
      </c>
      <c r="G44" s="4">
        <f t="shared" si="5"/>
        <v>45.471210137602597</v>
      </c>
      <c r="H44" s="21">
        <f t="shared" si="5"/>
        <v>46.29795941283173</v>
      </c>
      <c r="I44" s="4">
        <f t="shared" si="5"/>
        <v>54.565452165123112</v>
      </c>
    </row>
    <row r="45" spans="1:9" ht="18" x14ac:dyDescent="0.2">
      <c r="A45" s="3">
        <v>23</v>
      </c>
      <c r="B45" s="4">
        <f t="shared" si="5"/>
        <v>21.210103968629326</v>
      </c>
      <c r="C45" s="4">
        <f t="shared" si="5"/>
        <v>31.815155952943989</v>
      </c>
      <c r="D45" s="4">
        <f t="shared" si="5"/>
        <v>42.420207937258652</v>
      </c>
      <c r="E45" s="4">
        <f t="shared" si="5"/>
        <v>45.955225265363538</v>
      </c>
      <c r="F45" s="4">
        <f t="shared" si="5"/>
        <v>47.72273392941598</v>
      </c>
      <c r="G45" s="4">
        <f t="shared" si="5"/>
        <v>48.606488261442202</v>
      </c>
      <c r="H45" s="21">
        <f t="shared" si="5"/>
        <v>49.490242593468423</v>
      </c>
      <c r="I45" s="4">
        <f t="shared" si="5"/>
        <v>58.327785913730644</v>
      </c>
    </row>
    <row r="46" spans="1:9" ht="18" x14ac:dyDescent="0.2">
      <c r="A46" s="3">
        <v>24</v>
      </c>
      <c r="B46" s="4">
        <f t="shared" si="5"/>
        <v>22.608299922408328</v>
      </c>
      <c r="C46" s="4">
        <f t="shared" si="5"/>
        <v>33.912449883612489</v>
      </c>
      <c r="D46" s="4">
        <f t="shared" si="5"/>
        <v>45.216599844816656</v>
      </c>
      <c r="E46" s="4">
        <f t="shared" si="5"/>
        <v>48.98464983188471</v>
      </c>
      <c r="F46" s="4">
        <f t="shared" si="5"/>
        <v>50.868674825418736</v>
      </c>
      <c r="G46" s="4">
        <f t="shared" si="5"/>
        <v>51.81068732218575</v>
      </c>
      <c r="H46" s="21">
        <f t="shared" si="5"/>
        <v>52.752699818952763</v>
      </c>
      <c r="I46" s="4">
        <f t="shared" si="5"/>
        <v>62.172824786622897</v>
      </c>
    </row>
    <row r="47" spans="1:9" ht="18" x14ac:dyDescent="0.2">
      <c r="A47" s="3">
        <v>25</v>
      </c>
      <c r="B47" s="4">
        <f t="shared" si="5"/>
        <v>24.035936962545541</v>
      </c>
      <c r="C47" s="4">
        <f t="shared" si="5"/>
        <v>36.053905443818309</v>
      </c>
      <c r="D47" s="4">
        <f t="shared" si="5"/>
        <v>48.071873925091083</v>
      </c>
      <c r="E47" s="4">
        <f t="shared" si="5"/>
        <v>52.077863418848672</v>
      </c>
      <c r="F47" s="4">
        <f t="shared" si="5"/>
        <v>54.080858165727463</v>
      </c>
      <c r="G47" s="4">
        <f t="shared" si="5"/>
        <v>55.082355539166862</v>
      </c>
      <c r="H47" s="21">
        <f t="shared" si="5"/>
        <v>56.083852912606261</v>
      </c>
      <c r="I47" s="4">
        <f t="shared" si="5"/>
        <v>66.098826647000237</v>
      </c>
    </row>
    <row r="48" spans="1:9" ht="18" x14ac:dyDescent="0.2">
      <c r="A48" s="3">
        <v>26</v>
      </c>
      <c r="B48" s="4">
        <f t="shared" si="5"/>
        <v>25.492420012697202</v>
      </c>
      <c r="C48" s="4">
        <f t="shared" si="5"/>
        <v>38.238630019045807</v>
      </c>
      <c r="D48" s="4">
        <f t="shared" si="5"/>
        <v>50.984840025394405</v>
      </c>
      <c r="E48" s="4">
        <f t="shared" si="5"/>
        <v>55.233576694177273</v>
      </c>
      <c r="F48" s="4">
        <f t="shared" si="5"/>
        <v>57.357945028568707</v>
      </c>
      <c r="G48" s="4">
        <f t="shared" si="5"/>
        <v>58.420129195764424</v>
      </c>
      <c r="H48" s="21">
        <f t="shared" si="5"/>
        <v>59.482313362960141</v>
      </c>
      <c r="I48" s="4">
        <f t="shared" si="5"/>
        <v>70.104155034917312</v>
      </c>
    </row>
    <row r="49" spans="1:9" ht="18" x14ac:dyDescent="0.2">
      <c r="A49" s="3">
        <v>27</v>
      </c>
      <c r="B49" s="4">
        <f t="shared" si="5"/>
        <v>26.97718868927026</v>
      </c>
      <c r="C49" s="4">
        <f t="shared" si="5"/>
        <v>40.465783033905389</v>
      </c>
      <c r="D49" s="4">
        <f t="shared" si="5"/>
        <v>53.954377378540521</v>
      </c>
      <c r="E49" s="4">
        <f t="shared" si="5"/>
        <v>58.450575493418896</v>
      </c>
      <c r="F49" s="4">
        <f t="shared" si="5"/>
        <v>60.698674550858087</v>
      </c>
      <c r="G49" s="4">
        <f t="shared" si="5"/>
        <v>61.822724079577682</v>
      </c>
      <c r="H49" s="21">
        <f t="shared" si="5"/>
        <v>62.946773608297278</v>
      </c>
      <c r="I49" s="4">
        <f t="shared" si="5"/>
        <v>74.187268895493219</v>
      </c>
    </row>
    <row r="50" spans="1:9" ht="18" x14ac:dyDescent="0.2">
      <c r="A50" s="3">
        <v>28</v>
      </c>
      <c r="B50" s="4">
        <f t="shared" si="5"/>
        <v>28.489714055631676</v>
      </c>
      <c r="C50" s="4">
        <f t="shared" si="5"/>
        <v>42.734571083447513</v>
      </c>
      <c r="D50" s="4">
        <f t="shared" si="5"/>
        <v>56.979428111263353</v>
      </c>
      <c r="E50" s="4">
        <f t="shared" si="5"/>
        <v>61.727713787201964</v>
      </c>
      <c r="F50" s="4">
        <f t="shared" si="5"/>
        <v>64.101856625171266</v>
      </c>
      <c r="G50" s="4">
        <f t="shared" si="5"/>
        <v>65.288928044155924</v>
      </c>
      <c r="H50" s="21">
        <f t="shared" si="5"/>
        <v>66.475999463140582</v>
      </c>
      <c r="I50" s="4">
        <f t="shared" si="5"/>
        <v>78.346713652987106</v>
      </c>
    </row>
    <row r="51" spans="1:9" ht="18" x14ac:dyDescent="0.2">
      <c r="A51" s="3">
        <v>29</v>
      </c>
      <c r="B51" s="4">
        <f t="shared" ref="B51:I62" si="6">B$1*(3.996*0.01002*$A51)^(3/2)</f>
        <v>30.029495786231251</v>
      </c>
      <c r="C51" s="4">
        <f t="shared" si="6"/>
        <v>45.044243679346877</v>
      </c>
      <c r="D51" s="4">
        <f t="shared" si="6"/>
        <v>60.058991572462503</v>
      </c>
      <c r="E51" s="4">
        <f t="shared" si="6"/>
        <v>65.063907536834378</v>
      </c>
      <c r="F51" s="4">
        <f t="shared" si="6"/>
        <v>67.566365519020309</v>
      </c>
      <c r="G51" s="4">
        <f t="shared" si="6"/>
        <v>68.817594510113281</v>
      </c>
      <c r="H51" s="21">
        <f t="shared" si="6"/>
        <v>70.068823501206253</v>
      </c>
      <c r="I51" s="4">
        <f t="shared" si="6"/>
        <v>82.581113412135949</v>
      </c>
    </row>
    <row r="52" spans="1:9" ht="18" x14ac:dyDescent="0.2">
      <c r="A52" s="3">
        <v>30</v>
      </c>
      <c r="B52" s="4">
        <f t="shared" si="6"/>
        <v>31.59605967638015</v>
      </c>
      <c r="C52" s="4">
        <f t="shared" si="6"/>
        <v>47.394089514570226</v>
      </c>
      <c r="D52" s="4">
        <f t="shared" si="6"/>
        <v>63.192119352760301</v>
      </c>
      <c r="E52" s="4">
        <f t="shared" si="6"/>
        <v>68.458129298823664</v>
      </c>
      <c r="F52" s="4">
        <f t="shared" si="6"/>
        <v>71.091134271855339</v>
      </c>
      <c r="G52" s="4">
        <f t="shared" si="6"/>
        <v>72.407636758371183</v>
      </c>
      <c r="H52" s="21">
        <f t="shared" si="6"/>
        <v>73.724139244887027</v>
      </c>
      <c r="I52" s="4">
        <f t="shared" si="6"/>
        <v>86.889164110045414</v>
      </c>
    </row>
    <row r="53" spans="1:9" ht="18" x14ac:dyDescent="0.2">
      <c r="A53" s="3">
        <v>31</v>
      </c>
      <c r="B53" s="4">
        <f t="shared" si="6"/>
        <v>33.188955445327913</v>
      </c>
      <c r="C53" s="4">
        <f t="shared" si="6"/>
        <v>49.783433167991866</v>
      </c>
      <c r="D53" s="4">
        <f t="shared" si="6"/>
        <v>66.377910890655826</v>
      </c>
      <c r="E53" s="4">
        <f t="shared" si="6"/>
        <v>71.909403464877144</v>
      </c>
      <c r="F53" s="4">
        <f t="shared" si="6"/>
        <v>74.675149751987803</v>
      </c>
      <c r="G53" s="4">
        <f t="shared" si="6"/>
        <v>76.058022895543132</v>
      </c>
      <c r="H53" s="21">
        <f t="shared" si="6"/>
        <v>77.440896039098462</v>
      </c>
      <c r="I53" s="4">
        <f t="shared" si="6"/>
        <v>91.269627474651756</v>
      </c>
    </row>
    <row r="54" spans="1:9" ht="18" x14ac:dyDescent="0.2">
      <c r="A54" s="3">
        <v>32</v>
      </c>
      <c r="B54" s="4">
        <f t="shared" si="6"/>
        <v>34.807754789659313</v>
      </c>
      <c r="C54" s="4">
        <f t="shared" si="6"/>
        <v>52.21163218448897</v>
      </c>
      <c r="D54" s="4">
        <f t="shared" si="6"/>
        <v>69.615509579318626</v>
      </c>
      <c r="E54" s="4">
        <f t="shared" si="6"/>
        <v>75.416802044261843</v>
      </c>
      <c r="F54" s="4">
        <f t="shared" si="6"/>
        <v>78.317448276733458</v>
      </c>
      <c r="G54" s="4">
        <f t="shared" si="6"/>
        <v>79.767771392969266</v>
      </c>
      <c r="H54" s="21">
        <f t="shared" si="6"/>
        <v>81.218094509205073</v>
      </c>
      <c r="I54" s="4">
        <f t="shared" si="6"/>
        <v>95.721325671563122</v>
      </c>
    </row>
    <row r="55" spans="1:9" ht="18" x14ac:dyDescent="0.2">
      <c r="A55" s="3">
        <v>33</v>
      </c>
      <c r="B55" s="4">
        <f t="shared" si="6"/>
        <v>36.452049651489595</v>
      </c>
      <c r="C55" s="4">
        <f t="shared" si="6"/>
        <v>54.678074477234389</v>
      </c>
      <c r="D55" s="4">
        <f t="shared" si="6"/>
        <v>72.904099302979191</v>
      </c>
      <c r="E55" s="4">
        <f t="shared" si="6"/>
        <v>78.979440911560786</v>
      </c>
      <c r="F55" s="4">
        <f t="shared" si="6"/>
        <v>82.017111715851584</v>
      </c>
      <c r="G55" s="4">
        <f t="shared" si="6"/>
        <v>83.535947117996983</v>
      </c>
      <c r="H55" s="21">
        <f t="shared" si="6"/>
        <v>85.054782520142396</v>
      </c>
      <c r="I55" s="4">
        <f t="shared" si="6"/>
        <v>100.24313654159639</v>
      </c>
    </row>
    <row r="56" spans="1:9" ht="18" x14ac:dyDescent="0.2">
      <c r="A56" s="3">
        <v>34</v>
      </c>
      <c r="B56" s="4">
        <f t="shared" si="6"/>
        <v>38.121450671909301</v>
      </c>
      <c r="C56" s="4">
        <f t="shared" si="6"/>
        <v>57.182176007863944</v>
      </c>
      <c r="D56" s="4">
        <f t="shared" si="6"/>
        <v>76.242901343818602</v>
      </c>
      <c r="E56" s="4">
        <f t="shared" si="6"/>
        <v>82.596476455803483</v>
      </c>
      <c r="F56" s="4">
        <f t="shared" si="6"/>
        <v>85.773264011795916</v>
      </c>
      <c r="G56" s="4">
        <f t="shared" si="6"/>
        <v>87.361657789792133</v>
      </c>
      <c r="H56" s="21">
        <f t="shared" si="6"/>
        <v>88.950051567788364</v>
      </c>
      <c r="I56" s="4">
        <f t="shared" si="6"/>
        <v>104.83398934775057</v>
      </c>
    </row>
    <row r="57" spans="1:9" ht="18" x14ac:dyDescent="0.2">
      <c r="A57" s="3">
        <v>35</v>
      </c>
      <c r="B57" s="4">
        <f t="shared" si="6"/>
        <v>39.815585804952285</v>
      </c>
      <c r="C57" s="4">
        <f t="shared" si="6"/>
        <v>59.723378707428424</v>
      </c>
      <c r="D57" s="4">
        <f t="shared" si="6"/>
        <v>79.63117160990457</v>
      </c>
      <c r="E57" s="4">
        <f t="shared" si="6"/>
        <v>86.267102577396614</v>
      </c>
      <c r="F57" s="4">
        <f t="shared" si="6"/>
        <v>89.585068061142636</v>
      </c>
      <c r="G57" s="4">
        <f t="shared" si="6"/>
        <v>91.244050803015654</v>
      </c>
      <c r="H57" s="21">
        <f t="shared" si="6"/>
        <v>92.903033544888672</v>
      </c>
      <c r="I57" s="4">
        <f t="shared" si="6"/>
        <v>109.49286096361878</v>
      </c>
    </row>
    <row r="58" spans="1:9" ht="18" x14ac:dyDescent="0.2">
      <c r="A58" s="3">
        <v>36</v>
      </c>
      <c r="B58" s="4">
        <f t="shared" si="6"/>
        <v>41.534099071278696</v>
      </c>
      <c r="C58" s="4">
        <f t="shared" si="6"/>
        <v>62.301148606918048</v>
      </c>
      <c r="D58" s="4">
        <f t="shared" si="6"/>
        <v>83.068198142557392</v>
      </c>
      <c r="E58" s="4">
        <f t="shared" si="6"/>
        <v>89.990547987770512</v>
      </c>
      <c r="F58" s="4">
        <f t="shared" si="6"/>
        <v>93.451722910377072</v>
      </c>
      <c r="G58" s="4">
        <f t="shared" si="6"/>
        <v>95.182310371680344</v>
      </c>
      <c r="H58" s="21">
        <f t="shared" si="6"/>
        <v>96.912897832983617</v>
      </c>
      <c r="I58" s="4">
        <f t="shared" si="6"/>
        <v>114.21877244601642</v>
      </c>
    </row>
    <row r="59" spans="1:9" ht="18" x14ac:dyDescent="0.2">
      <c r="A59" s="3">
        <v>37</v>
      </c>
      <c r="B59" s="4">
        <f t="shared" si="6"/>
        <v>43.276649433969069</v>
      </c>
      <c r="C59" s="4">
        <f t="shared" si="6"/>
        <v>64.914974150953611</v>
      </c>
      <c r="D59" s="4">
        <f t="shared" si="6"/>
        <v>86.553298867938139</v>
      </c>
      <c r="E59" s="4">
        <f t="shared" si="6"/>
        <v>93.766073773599658</v>
      </c>
      <c r="F59" s="4">
        <f t="shared" si="6"/>
        <v>97.372461226430403</v>
      </c>
      <c r="G59" s="4">
        <f t="shared" si="6"/>
        <v>99.17565495284579</v>
      </c>
      <c r="H59" s="21">
        <f t="shared" si="6"/>
        <v>100.97884867926116</v>
      </c>
      <c r="I59" s="4">
        <f t="shared" si="6"/>
        <v>119.01078594341494</v>
      </c>
    </row>
    <row r="60" spans="1:9" ht="18" x14ac:dyDescent="0.2">
      <c r="A60" s="3">
        <v>38</v>
      </c>
      <c r="B60" s="4">
        <f t="shared" si="6"/>
        <v>45.042909781464182</v>
      </c>
      <c r="C60" s="4">
        <f t="shared" si="6"/>
        <v>67.564364672196277</v>
      </c>
      <c r="D60" s="4">
        <f t="shared" si="6"/>
        <v>90.085819562928364</v>
      </c>
      <c r="E60" s="4">
        <f t="shared" si="6"/>
        <v>97.592971193172403</v>
      </c>
      <c r="F60" s="4">
        <f t="shared" si="6"/>
        <v>101.34654700829441</v>
      </c>
      <c r="G60" s="4">
        <f t="shared" si="6"/>
        <v>103.22333491585542</v>
      </c>
      <c r="H60" s="21">
        <f t="shared" si="6"/>
        <v>105.10012282341643</v>
      </c>
      <c r="I60" s="4">
        <f t="shared" si="6"/>
        <v>123.86800189902651</v>
      </c>
    </row>
    <row r="61" spans="1:9" ht="18" x14ac:dyDescent="0.2">
      <c r="A61" s="3">
        <v>39</v>
      </c>
      <c r="B61" s="4">
        <f t="shared" si="6"/>
        <v>46.832566004866813</v>
      </c>
      <c r="C61" s="4">
        <f t="shared" si="6"/>
        <v>70.248849007300223</v>
      </c>
      <c r="D61" s="4">
        <f t="shared" si="6"/>
        <v>93.665132009733625</v>
      </c>
      <c r="E61" s="4">
        <f t="shared" si="6"/>
        <v>101.47055967721143</v>
      </c>
      <c r="F61" s="4">
        <f t="shared" si="6"/>
        <v>105.37327351095033</v>
      </c>
      <c r="G61" s="4">
        <f t="shared" si="6"/>
        <v>107.32463042781977</v>
      </c>
      <c r="H61" s="21">
        <f t="shared" si="6"/>
        <v>109.27598734468923</v>
      </c>
      <c r="I61" s="4">
        <f t="shared" si="6"/>
        <v>128.78955651338373</v>
      </c>
    </row>
    <row r="62" spans="1:9" ht="18" x14ac:dyDescent="0.2">
      <c r="A62" s="3">
        <v>40</v>
      </c>
      <c r="B62" s="4">
        <f t="shared" si="6"/>
        <v>48.645316158638835</v>
      </c>
      <c r="C62" s="4">
        <f t="shared" si="6"/>
        <v>72.967974237958245</v>
      </c>
      <c r="D62" s="4">
        <f t="shared" si="6"/>
        <v>97.290632317277669</v>
      </c>
      <c r="E62" s="4">
        <f t="shared" si="6"/>
        <v>105.39818501038414</v>
      </c>
      <c r="F62" s="4">
        <f t="shared" si="6"/>
        <v>109.45196135693737</v>
      </c>
      <c r="G62" s="4">
        <f t="shared" si="6"/>
        <v>111.47884953021399</v>
      </c>
      <c r="H62" s="21">
        <f t="shared" si="6"/>
        <v>113.50573770349061</v>
      </c>
      <c r="I62" s="4">
        <f t="shared" si="6"/>
        <v>133.77461943625678</v>
      </c>
    </row>
    <row r="63" spans="1:9" ht="18" hidden="1" x14ac:dyDescent="0.2">
      <c r="A63" s="3">
        <v>39</v>
      </c>
      <c r="B63" s="4">
        <f t="shared" si="1"/>
        <v>46.832566004866813</v>
      </c>
      <c r="C63" s="4">
        <f t="shared" si="1"/>
        <v>70.248849007300223</v>
      </c>
      <c r="D63" s="4">
        <f t="shared" si="1"/>
        <v>93.665132009733625</v>
      </c>
      <c r="E63" s="4">
        <f t="shared" si="1"/>
        <v>101.47055967721143</v>
      </c>
      <c r="F63" s="4">
        <f t="shared" si="3"/>
        <v>105.37327351095033</v>
      </c>
      <c r="G63" s="4">
        <f t="shared" si="2"/>
        <v>107.32463042781977</v>
      </c>
      <c r="H63" s="19">
        <f t="shared" si="2"/>
        <v>109.27598734468923</v>
      </c>
      <c r="I63" s="4">
        <f t="shared" si="2"/>
        <v>128.78955651338373</v>
      </c>
    </row>
    <row r="64" spans="1:9" ht="18" hidden="1" x14ac:dyDescent="0.2">
      <c r="A64" s="3">
        <v>40</v>
      </c>
      <c r="B64" s="4">
        <f t="shared" si="1"/>
        <v>48.645316158638835</v>
      </c>
      <c r="C64" s="4">
        <f t="shared" si="1"/>
        <v>72.967974237958245</v>
      </c>
      <c r="D64" s="4">
        <f t="shared" si="1"/>
        <v>97.290632317277669</v>
      </c>
      <c r="E64" s="4">
        <f t="shared" si="1"/>
        <v>105.39818501038414</v>
      </c>
      <c r="F64" s="4">
        <f t="shared" si="3"/>
        <v>109.45196135693737</v>
      </c>
      <c r="G64" s="4">
        <f t="shared" si="2"/>
        <v>111.47884953021399</v>
      </c>
      <c r="H64" s="19">
        <f t="shared" si="2"/>
        <v>113.50573770349061</v>
      </c>
      <c r="I64" s="4">
        <f t="shared" si="2"/>
        <v>133.77461943625678</v>
      </c>
    </row>
  </sheetData>
  <sheetProtection sheet="1" objects="1" scenarios="1"/>
  <mergeCells count="1">
    <mergeCell ref="B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outlinePr summaryBelow="0" summaryRight="0"/>
  </sheetPr>
  <dimension ref="A1:F16"/>
  <sheetViews>
    <sheetView workbookViewId="0">
      <selection activeCell="C11" sqref="C11"/>
    </sheetView>
  </sheetViews>
  <sheetFormatPr defaultColWidth="0" defaultRowHeight="15.75" customHeight="1" zeroHeight="1" x14ac:dyDescent="0.15"/>
  <cols>
    <col min="1" max="1" width="3.50390625" customWidth="1"/>
    <col min="2" max="5" width="8.359375" customWidth="1"/>
    <col min="6" max="6" width="9.9765625" customWidth="1"/>
    <col min="7" max="7" width="12.67578125" hidden="1" customWidth="1"/>
    <col min="8" max="16384" width="12.67578125" hidden="1"/>
  </cols>
  <sheetData>
    <row r="1" spans="1:6" ht="18.75" customHeight="1" x14ac:dyDescent="0.2">
      <c r="A1" s="42" t="s">
        <v>1</v>
      </c>
      <c r="B1" s="43"/>
      <c r="C1" s="43"/>
      <c r="D1" s="43"/>
      <c r="E1" s="43"/>
      <c r="F1" s="43"/>
    </row>
    <row r="2" spans="1:6" ht="18.75" customHeight="1" thickTop="1" thickBot="1" x14ac:dyDescent="0.25">
      <c r="A2" s="44" t="s">
        <v>2</v>
      </c>
      <c r="B2" s="43"/>
      <c r="C2" s="11">
        <v>2</v>
      </c>
      <c r="D2" s="10" t="s">
        <v>16</v>
      </c>
      <c r="E2" s="10"/>
      <c r="F2" s="2"/>
    </row>
    <row r="3" spans="1:6" ht="18.75" customHeight="1" thickTop="1" thickBot="1" x14ac:dyDescent="0.25">
      <c r="A3" s="44" t="s">
        <v>3</v>
      </c>
      <c r="B3" s="43"/>
      <c r="C3" s="11">
        <v>8</v>
      </c>
      <c r="D3" s="10" t="s">
        <v>16</v>
      </c>
      <c r="E3" s="10"/>
      <c r="F3" s="1"/>
    </row>
    <row r="4" spans="1:6" ht="18.75" customHeight="1" thickTop="1" thickBot="1" x14ac:dyDescent="0.25">
      <c r="A4" s="1"/>
      <c r="B4" s="1"/>
      <c r="C4" s="1"/>
      <c r="D4" s="1"/>
      <c r="E4" s="1"/>
      <c r="F4" s="1"/>
    </row>
    <row r="5" spans="1:6" ht="18.75" customHeight="1" thickBot="1" x14ac:dyDescent="0.25">
      <c r="A5" s="1"/>
      <c r="B5" s="1"/>
      <c r="C5" s="2">
        <v>54</v>
      </c>
      <c r="D5" s="2">
        <v>55</v>
      </c>
      <c r="E5" s="2">
        <v>56</v>
      </c>
      <c r="F5" s="18">
        <v>96</v>
      </c>
    </row>
    <row r="6" spans="1:6" ht="18.75" customHeight="1" x14ac:dyDescent="0.2">
      <c r="A6" s="12" t="s">
        <v>12</v>
      </c>
      <c r="B6" s="15">
        <f>C3+5</f>
        <v>13</v>
      </c>
      <c r="C6" s="4">
        <f t="shared" ref="C6:C11" si="0">B6*$C$5*(0.75*0.001997)*(2*32.174*$C$2)^0.5</f>
        <v>11.927761998304412</v>
      </c>
      <c r="D6" s="4">
        <f t="shared" ref="D6:D11" si="1">B6*$D$5*(0.75*0.001997)*(2*32.174*$C$2)^0.5</f>
        <v>12.148646479754495</v>
      </c>
      <c r="E6" s="21">
        <f t="shared" ref="E6:E11" si="2">B6*$E$5*(0.75*0.001997)*(2*32.174*$C$2)^0.5</f>
        <v>12.369530961204577</v>
      </c>
      <c r="F6" s="4">
        <f>B6*$F$5*(0.75*0.001997)*(2*32.174*$C$2)^0.5</f>
        <v>21.204910219207846</v>
      </c>
    </row>
    <row r="7" spans="1:6" ht="18.75" customHeight="1" x14ac:dyDescent="0.2">
      <c r="A7" s="12" t="s">
        <v>11</v>
      </c>
      <c r="B7" s="15">
        <f>C3+4</f>
        <v>12</v>
      </c>
      <c r="C7" s="4">
        <f t="shared" si="0"/>
        <v>11.010241844588689</v>
      </c>
      <c r="D7" s="4">
        <f t="shared" si="1"/>
        <v>11.214135212081072</v>
      </c>
      <c r="E7" s="21">
        <f t="shared" si="2"/>
        <v>11.418028579573456</v>
      </c>
      <c r="F7" s="4">
        <f>B7*$F$5*(0.75*0.001997)*(2*32.174*$C$2)^0.5</f>
        <v>19.573763279268778</v>
      </c>
    </row>
    <row r="8" spans="1:6" ht="18.75" customHeight="1" x14ac:dyDescent="0.2">
      <c r="A8" s="12" t="s">
        <v>10</v>
      </c>
      <c r="B8" s="15">
        <f>C3+3</f>
        <v>11</v>
      </c>
      <c r="C8" s="4">
        <f t="shared" si="0"/>
        <v>10.092721690872965</v>
      </c>
      <c r="D8" s="4">
        <f t="shared" si="1"/>
        <v>10.27962394440765</v>
      </c>
      <c r="E8" s="21">
        <f t="shared" si="2"/>
        <v>10.466526197942333</v>
      </c>
      <c r="F8" s="4">
        <f>B8*$F$5*(0.75*0.001997)*(2*32.174*$C$2)^0.5</f>
        <v>17.942616339329714</v>
      </c>
    </row>
    <row r="9" spans="1:6" ht="18.75" customHeight="1" x14ac:dyDescent="0.2">
      <c r="A9" s="12" t="s">
        <v>9</v>
      </c>
      <c r="B9" s="15">
        <f>C3+2</f>
        <v>10</v>
      </c>
      <c r="C9" s="4">
        <f t="shared" si="0"/>
        <v>9.1752015371572408</v>
      </c>
      <c r="D9" s="4">
        <f t="shared" si="1"/>
        <v>9.3451126767342263</v>
      </c>
      <c r="E9" s="21">
        <f t="shared" si="2"/>
        <v>9.5150238163112117</v>
      </c>
      <c r="F9" s="4">
        <f>B9*$F$5*(0.75*0.001997)*(2*32.174*$C$2)^0.5</f>
        <v>16.311469399390649</v>
      </c>
    </row>
    <row r="10" spans="1:6" ht="18.75" customHeight="1" x14ac:dyDescent="0.2">
      <c r="A10" s="12" t="s">
        <v>8</v>
      </c>
      <c r="B10" s="15">
        <f>C3+1</f>
        <v>9</v>
      </c>
      <c r="C10" s="4">
        <f t="shared" si="0"/>
        <v>8.2576813834415166</v>
      </c>
      <c r="D10" s="4">
        <f t="shared" si="1"/>
        <v>8.4106014090608046</v>
      </c>
      <c r="E10" s="21">
        <f t="shared" si="2"/>
        <v>8.5635214346800907</v>
      </c>
      <c r="F10" s="4">
        <f t="shared" ref="F10:F11" si="3">B10*$F$5*(0.75*0.001997)*(2*32.174*$C$2)^0.5</f>
        <v>14.680322459451585</v>
      </c>
    </row>
    <row r="11" spans="1:6" ht="18.75" customHeight="1" x14ac:dyDescent="0.2">
      <c r="A11" s="5"/>
      <c r="B11" s="16">
        <f>C3</f>
        <v>8</v>
      </c>
      <c r="C11" s="7">
        <f t="shared" si="0"/>
        <v>7.3401612297257923</v>
      </c>
      <c r="D11" s="7">
        <f t="shared" si="1"/>
        <v>7.476090141387381</v>
      </c>
      <c r="E11" s="22">
        <f t="shared" si="2"/>
        <v>7.6120190530489706</v>
      </c>
      <c r="F11" s="7">
        <f t="shared" si="3"/>
        <v>13.04917551951252</v>
      </c>
    </row>
    <row r="12" spans="1:6" ht="18.75" customHeight="1" x14ac:dyDescent="0.2">
      <c r="A12" s="6">
        <v>-1</v>
      </c>
      <c r="B12" s="15">
        <f>C3-1</f>
        <v>7</v>
      </c>
      <c r="C12" s="4">
        <f>IF($C$3-1&lt;0,"",B12*$C$5*(0.75*0.001997)*(2*32.174*$C$2)^0.5)</f>
        <v>6.4226410760100681</v>
      </c>
      <c r="D12" s="4">
        <f>IF($C$3-1&lt;0,"",B12*$D$5*(0.75*0.001997)*(2*32.174*$C$2)^0.5)</f>
        <v>6.5415788737139584</v>
      </c>
      <c r="E12" s="21">
        <f>IF($C$3-1&lt;0,"",B12*$E$5*(0.75*0.001997)*(2*32.174*$C$2)^0.5)</f>
        <v>6.6605166714178496</v>
      </c>
      <c r="F12" s="4">
        <f>IF($C$3-1&lt;0,"",B12*$F$5*(0.75*0.001997)*(2*32.174*$C$2)^0.5)</f>
        <v>11.418028579573456</v>
      </c>
    </row>
    <row r="13" spans="1:6" ht="18.75" customHeight="1" x14ac:dyDescent="0.2">
      <c r="A13" s="13" t="s">
        <v>7</v>
      </c>
      <c r="B13" s="15">
        <f>C3-2</f>
        <v>6</v>
      </c>
      <c r="C13" s="4">
        <f>IF($C$3-2&lt;0,"",B13*$C$5*(0.75*0.001997)*(2*32.174*$C$2)^0.5)</f>
        <v>5.5051209222943447</v>
      </c>
      <c r="D13" s="4">
        <f>IF($C$3-2&lt;0,"",B13*$D$5*(0.75*0.001997)*(2*32.174*$C$2)^0.5)</f>
        <v>5.6070676060405358</v>
      </c>
      <c r="E13" s="21">
        <f>IF($C$3-2&lt;0,"",B13*$E$5*(0.75*0.001997)*(2*32.174*$C$2)^0.5)</f>
        <v>5.7090142897867278</v>
      </c>
      <c r="F13" s="4">
        <f>IF($C$3-2&lt;0,"",B13*$F$5*(0.75*0.001997)*(2*32.174*$C$2)^0.5)</f>
        <v>9.7868816396343892</v>
      </c>
    </row>
    <row r="14" spans="1:6" ht="18.75" customHeight="1" x14ac:dyDescent="0.2">
      <c r="A14" s="13" t="s">
        <v>6</v>
      </c>
      <c r="B14" s="15">
        <f>C3-3</f>
        <v>5</v>
      </c>
      <c r="C14" s="4">
        <f>IF($C$3-3&lt;0,"",B14*$C$5*(0.75*0.001997)*(2*32.174*$C$2)^0.5)</f>
        <v>4.5876007685786204</v>
      </c>
      <c r="D14" s="4">
        <f>IF($C$3-3&lt;0,"",B14*$D$5*(0.75*0.001997)*(2*32.174*$C$2)^0.5)</f>
        <v>4.6725563383671131</v>
      </c>
      <c r="E14" s="21">
        <f>IF($C$3-3&lt;0,"",B14*$E$5*(0.75*0.001997)*(2*32.174*$C$2)^0.5)</f>
        <v>4.7575119081556059</v>
      </c>
      <c r="F14" s="4">
        <f>IF($C$3-3&lt;0,"",B14*$F$5*(0.75*0.001997)*(2*32.174*$C$2)^0.5)</f>
        <v>8.1557346996953246</v>
      </c>
    </row>
    <row r="15" spans="1:6" ht="18.75" customHeight="1" x14ac:dyDescent="0.2">
      <c r="A15" s="13" t="s">
        <v>5</v>
      </c>
      <c r="B15" s="15">
        <f>C3-4</f>
        <v>4</v>
      </c>
      <c r="C15" s="4">
        <f>IF($C$3-4&lt;0,"",B15*$C$5*(0.75*0.001997)*(2*32.174*$C$2)^0.5)</f>
        <v>3.6700806148628962</v>
      </c>
      <c r="D15" s="4">
        <f>IF($C$3-4&lt;0,"",B15*$D$5*(0.75*0.001997)*(2*32.174*$C$2)^0.5)</f>
        <v>3.7380450706936905</v>
      </c>
      <c r="E15" s="21">
        <f>IF($C$3-4&lt;0,"",B15*$E$5*(0.75*0.001997)*(2*32.174*$C$2)^0.5)</f>
        <v>3.8060095265244853</v>
      </c>
      <c r="F15" s="4">
        <f>IF($C$3-4&lt;0,"",B15*$F$5*(0.75*0.001997)*(2*32.174*$C$2)^0.5)</f>
        <v>6.52458775975626</v>
      </c>
    </row>
    <row r="16" spans="1:6" ht="18.75" customHeight="1" x14ac:dyDescent="0.2">
      <c r="A16" s="13" t="s">
        <v>4</v>
      </c>
      <c r="B16" s="15">
        <f>C3-5</f>
        <v>3</v>
      </c>
      <c r="C16" s="4">
        <f>IF($C$3-5&lt;0,"",B16*$C$5*(0.75*0.001997)*(2*32.174*$C$2)^0.5)</f>
        <v>2.7525604611471723</v>
      </c>
      <c r="D16" s="4">
        <f>IF($C$3-5&lt;0,"",B16*$D$5*(0.75*0.001997)*(2*32.174*$C$2)^0.5)</f>
        <v>2.8035338030202679</v>
      </c>
      <c r="E16" s="21">
        <f>IF($C$3-5&lt;0,"",B16*$E$5*(0.75*0.001997)*(2*32.174*$C$2)^0.5)</f>
        <v>2.8545071448933639</v>
      </c>
      <c r="F16" s="4">
        <f>IF($C$3-5&lt;0,"",B16*$F$5*(0.75*0.001997)*(2*32.174*$C$2)^0.5)</f>
        <v>4.8934408198171946</v>
      </c>
    </row>
  </sheetData>
  <sheetProtection sheet="1" objects="1" scenarios="1"/>
  <mergeCells count="3">
    <mergeCell ref="A1:F1"/>
    <mergeCell ref="A2:B2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outlinePr summaryBelow="0" summaryRight="0"/>
  </sheetPr>
  <dimension ref="A1:F16"/>
  <sheetViews>
    <sheetView workbookViewId="0">
      <selection activeCell="D5" sqref="D5"/>
    </sheetView>
  </sheetViews>
  <sheetFormatPr defaultColWidth="0" defaultRowHeight="15.75" customHeight="1" zeroHeight="1" x14ac:dyDescent="0.15"/>
  <cols>
    <col min="1" max="1" width="3.50390625" customWidth="1"/>
    <col min="2" max="5" width="8.359375" customWidth="1"/>
    <col min="6" max="6" width="9.9765625" customWidth="1"/>
    <col min="7" max="7" width="12.67578125" hidden="1" customWidth="1"/>
    <col min="8" max="16384" width="12.67578125" hidden="1"/>
  </cols>
  <sheetData>
    <row r="1" spans="1:6" ht="18.75" customHeight="1" x14ac:dyDescent="0.2">
      <c r="A1" s="42" t="s">
        <v>13</v>
      </c>
      <c r="B1" s="43"/>
      <c r="C1" s="43"/>
      <c r="D1" s="43"/>
      <c r="E1" s="43"/>
      <c r="F1" s="43"/>
    </row>
    <row r="2" spans="1:6" ht="18.75" customHeight="1" thickTop="1" thickBot="1" x14ac:dyDescent="0.25">
      <c r="A2" s="44" t="s">
        <v>2</v>
      </c>
      <c r="B2" s="43"/>
      <c r="C2" s="11">
        <v>77</v>
      </c>
      <c r="D2" s="10" t="s">
        <v>16</v>
      </c>
      <c r="E2" s="10"/>
      <c r="F2" s="2"/>
    </row>
    <row r="3" spans="1:6" ht="18.75" customHeight="1" thickTop="1" thickBot="1" x14ac:dyDescent="0.25">
      <c r="A3" s="44" t="s">
        <v>3</v>
      </c>
      <c r="B3" s="43"/>
      <c r="C3" s="11">
        <v>4</v>
      </c>
      <c r="D3" s="10" t="s">
        <v>16</v>
      </c>
      <c r="E3" s="10"/>
      <c r="F3" s="1"/>
    </row>
    <row r="4" spans="1:6" ht="18.75" customHeight="1" thickTop="1" thickBot="1" x14ac:dyDescent="0.25">
      <c r="A4" s="1"/>
      <c r="B4" s="1"/>
      <c r="C4" s="1"/>
      <c r="D4" s="1"/>
      <c r="E4" s="1"/>
      <c r="F4" s="1"/>
    </row>
    <row r="5" spans="1:6" ht="18.75" customHeight="1" thickBot="1" x14ac:dyDescent="0.25">
      <c r="A5" s="1"/>
      <c r="B5" s="1"/>
      <c r="C5" s="2">
        <v>54</v>
      </c>
      <c r="D5" s="2">
        <v>55</v>
      </c>
      <c r="E5" s="2">
        <v>56</v>
      </c>
      <c r="F5" s="18">
        <v>96</v>
      </c>
    </row>
    <row r="6" spans="1:6" ht="18.75" customHeight="1" x14ac:dyDescent="0.2">
      <c r="A6" s="14" t="s">
        <v>12</v>
      </c>
      <c r="B6" s="17">
        <f>C3+5</f>
        <v>9</v>
      </c>
      <c r="C6" s="4">
        <f t="shared" ref="C6:C11" si="0">B6*$C$5*(0.67*0.002004)*(2*32.174*$C$2)^0.5</f>
        <v>45.932668651724924</v>
      </c>
      <c r="D6" s="4">
        <f t="shared" ref="D6:D11" si="1">B6*$D$5*(0.67*0.002004)*(2*32.174*$C$2)^0.5</f>
        <v>46.783273626756873</v>
      </c>
      <c r="E6" s="21">
        <f t="shared" ref="E6:E11" si="2">B6*$E$5*(0.67*0.002004)*(2*32.174*$C$2)^0.5</f>
        <v>47.633878601788815</v>
      </c>
      <c r="F6" s="4">
        <f t="shared" ref="F6:F11" si="3">B6*$F$5*(0.67*0.002004)*(2*32.174*$C$2)^0.5</f>
        <v>81.658077603066545</v>
      </c>
    </row>
    <row r="7" spans="1:6" ht="18.75" customHeight="1" x14ac:dyDescent="0.2">
      <c r="A7" s="14" t="s">
        <v>11</v>
      </c>
      <c r="B7" s="17">
        <f>C3+4</f>
        <v>8</v>
      </c>
      <c r="C7" s="4">
        <f t="shared" si="0"/>
        <v>40.829038801533272</v>
      </c>
      <c r="D7" s="4">
        <f t="shared" si="1"/>
        <v>41.585132112672774</v>
      </c>
      <c r="E7" s="21">
        <f t="shared" si="2"/>
        <v>42.341225423812276</v>
      </c>
      <c r="F7" s="4">
        <f t="shared" si="3"/>
        <v>72.584957869392468</v>
      </c>
    </row>
    <row r="8" spans="1:6" ht="18.75" customHeight="1" x14ac:dyDescent="0.2">
      <c r="A8" s="14" t="s">
        <v>10</v>
      </c>
      <c r="B8" s="17">
        <f>C3+3</f>
        <v>7</v>
      </c>
      <c r="C8" s="4">
        <f t="shared" si="0"/>
        <v>35.725408951341613</v>
      </c>
      <c r="D8" s="4">
        <f t="shared" si="1"/>
        <v>36.386990598588675</v>
      </c>
      <c r="E8" s="21">
        <f t="shared" si="2"/>
        <v>37.04857224583575</v>
      </c>
      <c r="F8" s="4">
        <f t="shared" si="3"/>
        <v>63.511838135718421</v>
      </c>
    </row>
    <row r="9" spans="1:6" ht="18.75" customHeight="1" x14ac:dyDescent="0.2">
      <c r="A9" s="14" t="s">
        <v>9</v>
      </c>
      <c r="B9" s="17">
        <f>C3+2</f>
        <v>6</v>
      </c>
      <c r="C9" s="4">
        <f t="shared" si="0"/>
        <v>30.621779101149954</v>
      </c>
      <c r="D9" s="4">
        <f t="shared" si="1"/>
        <v>31.188849084504579</v>
      </c>
      <c r="E9" s="21">
        <f t="shared" si="2"/>
        <v>31.75591906785921</v>
      </c>
      <c r="F9" s="4">
        <f t="shared" si="3"/>
        <v>54.438718402044366</v>
      </c>
    </row>
    <row r="10" spans="1:6" ht="18.75" customHeight="1" x14ac:dyDescent="0.2">
      <c r="A10" s="14" t="s">
        <v>8</v>
      </c>
      <c r="B10" s="17">
        <f>C3+1</f>
        <v>5</v>
      </c>
      <c r="C10" s="4">
        <f t="shared" si="0"/>
        <v>25.518149250958295</v>
      </c>
      <c r="D10" s="4">
        <f t="shared" si="1"/>
        <v>25.990707570420483</v>
      </c>
      <c r="E10" s="21">
        <f t="shared" si="2"/>
        <v>26.463265889882678</v>
      </c>
      <c r="F10" s="4">
        <f t="shared" si="3"/>
        <v>45.365598668370303</v>
      </c>
    </row>
    <row r="11" spans="1:6" ht="18.75" customHeight="1" x14ac:dyDescent="0.2">
      <c r="A11" s="5"/>
      <c r="B11" s="16">
        <f>C3</f>
        <v>4</v>
      </c>
      <c r="C11" s="7">
        <f t="shared" si="0"/>
        <v>20.414519400766636</v>
      </c>
      <c r="D11" s="7">
        <f t="shared" si="1"/>
        <v>20.792566056336387</v>
      </c>
      <c r="E11" s="22">
        <f t="shared" si="2"/>
        <v>21.170612711906138</v>
      </c>
      <c r="F11" s="7">
        <f t="shared" si="3"/>
        <v>36.292478934696234</v>
      </c>
    </row>
    <row r="12" spans="1:6" ht="18.75" customHeight="1" x14ac:dyDescent="0.2">
      <c r="A12" s="6">
        <v>-1</v>
      </c>
      <c r="B12" s="15">
        <f>C3-1</f>
        <v>3</v>
      </c>
      <c r="C12" s="4">
        <f>IF($C$3-1&lt;0,"",B12*$C$5*(0.75*0.001997)*(2*32.174*$C$2)^0.5)</f>
        <v>17.079188506847252</v>
      </c>
      <c r="D12" s="4">
        <f>IF($C$3-1&lt;0,"",B12*$D$5*(0.75*0.001997)*(2*32.174*$C$2)^0.5)</f>
        <v>17.395469775492568</v>
      </c>
      <c r="E12" s="21">
        <f>IF($C$3-1&lt;0,"",B12*$E$5*(0.75*0.001997)*(2*32.174*$C$2)^0.5)</f>
        <v>17.711751044137891</v>
      </c>
      <c r="F12" s="4">
        <f>IF($C$3-1&lt;0,"",B12*$F$5*(0.75*0.001997)*(2*32.174*$C$2)^0.5)</f>
        <v>30.363001789950665</v>
      </c>
    </row>
    <row r="13" spans="1:6" ht="18.75" customHeight="1" x14ac:dyDescent="0.2">
      <c r="A13" s="13" t="s">
        <v>7</v>
      </c>
      <c r="B13" s="15">
        <f>C3-2</f>
        <v>2</v>
      </c>
      <c r="C13" s="4">
        <f>IF($C$3-2&lt;0,"",B13*$C$5*(0.75*0.001997)*(2*32.174*$C$2)^0.5)</f>
        <v>11.3861256712315</v>
      </c>
      <c r="D13" s="4">
        <f>IF($C$3-2&lt;0,"",B13*$D$5*(0.75*0.001997)*(2*32.174*$C$2)^0.5)</f>
        <v>11.596979850328381</v>
      </c>
      <c r="E13" s="21">
        <f>IF($C$3-2&lt;0,"",B13*$E$5*(0.75*0.001997)*(2*32.174*$C$2)^0.5)</f>
        <v>11.80783402942526</v>
      </c>
      <c r="F13" s="4">
        <f>IF($C$3-2&lt;0,"",B13*$F$5*(0.75*0.001997)*(2*32.174*$C$2)^0.5)</f>
        <v>20.242001193300446</v>
      </c>
    </row>
    <row r="14" spans="1:6" ht="18.75" customHeight="1" x14ac:dyDescent="0.2">
      <c r="A14" s="13" t="s">
        <v>6</v>
      </c>
      <c r="B14" s="15">
        <f>C3-3</f>
        <v>1</v>
      </c>
      <c r="C14" s="4">
        <f>IF($C$3-3&lt;0,"",B14*$C$5*(0.75*0.001997)*(2*32.174*$C$2)^0.5)</f>
        <v>5.6930628356157502</v>
      </c>
      <c r="D14" s="4">
        <f>IF($C$3-3&lt;0,"",B14*$D$5*(0.75*0.001997)*(2*32.174*$C$2)^0.5)</f>
        <v>5.7984899251641906</v>
      </c>
      <c r="E14" s="21">
        <f>IF($C$3-3&lt;0,"",B14*$E$5*(0.75*0.001997)*(2*32.174*$C$2)^0.5)</f>
        <v>5.9039170147126301</v>
      </c>
      <c r="F14" s="4">
        <f>IF($C$3-3&lt;0,"",B14*$F$5*(0.75*0.001997)*(2*32.174*$C$2)^0.5)</f>
        <v>10.121000596650223</v>
      </c>
    </row>
    <row r="15" spans="1:6" ht="18.75" customHeight="1" x14ac:dyDescent="0.2">
      <c r="A15" s="13" t="s">
        <v>5</v>
      </c>
      <c r="B15" s="15">
        <f>C3-4</f>
        <v>0</v>
      </c>
      <c r="C15" s="4">
        <f>IF($C$3-4&lt;0,"",B15*$C$5*(0.75*0.001997)*(2*32.174*$C$2)^0.5)</f>
        <v>0</v>
      </c>
      <c r="D15" s="4">
        <f>IF($C$3-4&lt;0,"",B15*$D$5*(0.75*0.001997)*(2*32.174*$C$2)^0.5)</f>
        <v>0</v>
      </c>
      <c r="E15" s="21">
        <f>IF($C$3-4&lt;0,"",B15*$E$5*(0.75*0.001997)*(2*32.174*$C$2)^0.5)</f>
        <v>0</v>
      </c>
      <c r="F15" s="4">
        <f>IF($C$3-4&lt;0,"",B15*$F$5*(0.75*0.001997)*(2*32.174*$C$2)^0.5)</f>
        <v>0</v>
      </c>
    </row>
    <row r="16" spans="1:6" ht="18.75" customHeight="1" x14ac:dyDescent="0.2">
      <c r="A16" s="13" t="s">
        <v>4</v>
      </c>
      <c r="B16" s="15">
        <f>C3-5</f>
        <v>-1</v>
      </c>
      <c r="C16" s="4" t="str">
        <f>IF($C$3-5&lt;0,"",B16*$C$5*(0.75*0.001997)*(2*32.174*$C$2)^0.5)</f>
        <v/>
      </c>
      <c r="D16" s="4" t="str">
        <f>IF($C$3-5&lt;0,"",B16*$D$5*(0.75*0.001997)*(2*32.174*$C$2)^0.5)</f>
        <v/>
      </c>
      <c r="E16" s="21" t="str">
        <f>IF($C$3-5&lt;0,"",B16*$E$5*(0.75*0.001997)*(2*32.174*$C$2)^0.5)</f>
        <v/>
      </c>
      <c r="F16" s="4" t="str">
        <f>IF($C$3-5&lt;0,"",B16*$F$5*(0.75*0.001997)*(2*32.174*$C$2)^0.5)</f>
        <v/>
      </c>
    </row>
  </sheetData>
  <sheetProtection sheet="1" objects="1" scenarios="1"/>
  <mergeCells count="3">
    <mergeCell ref="A1:F1"/>
    <mergeCell ref="A2:B2"/>
    <mergeCell ref="A3:B3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4C51-57EC-4D55-A143-F13249DB1081}">
  <sheetPr>
    <tabColor rgb="FFFFFF00"/>
    <outlinePr summaryBelow="0" summaryRight="0"/>
  </sheetPr>
  <dimension ref="A1:G29"/>
  <sheetViews>
    <sheetView tabSelected="1" zoomScaleNormal="150" zoomScaleSheetLayoutView="100" workbookViewId="0">
      <selection activeCell="C11" sqref="C11"/>
    </sheetView>
  </sheetViews>
  <sheetFormatPr defaultColWidth="0" defaultRowHeight="0" customHeight="1" zeroHeight="1" x14ac:dyDescent="0.15"/>
  <cols>
    <col min="1" max="1" width="9.3046875" style="23" customWidth="1"/>
    <col min="2" max="3" width="8.62890625" style="23" customWidth="1"/>
    <col min="4" max="4" width="0" style="23" hidden="1" customWidth="1"/>
    <col min="5" max="6" width="8.62890625" style="23" customWidth="1"/>
    <col min="7" max="7" width="7.55078125" style="23" hidden="1" customWidth="1"/>
    <col min="8" max="16384" width="8.62890625" style="23" hidden="1"/>
  </cols>
  <sheetData>
    <row r="1" spans="1:6" ht="18.75" customHeight="1" thickBot="1" x14ac:dyDescent="0.25">
      <c r="A1" s="45" t="s">
        <v>17</v>
      </c>
      <c r="B1" s="45"/>
      <c r="C1" s="45"/>
      <c r="D1" s="45"/>
      <c r="E1" s="45"/>
      <c r="F1" s="45"/>
    </row>
    <row r="2" spans="1:6" ht="18.75" customHeight="1" thickBot="1" x14ac:dyDescent="0.25">
      <c r="A2" s="40" t="s">
        <v>2</v>
      </c>
      <c r="B2" s="24">
        <v>4</v>
      </c>
      <c r="C2" s="28" t="s">
        <v>18</v>
      </c>
      <c r="E2" s="29">
        <f>B2*12</f>
        <v>48</v>
      </c>
      <c r="F2" s="30" t="s">
        <v>16</v>
      </c>
    </row>
    <row r="3" spans="1:6" ht="18.75" customHeight="1" thickBot="1" x14ac:dyDescent="0.25">
      <c r="A3" s="40" t="s">
        <v>3</v>
      </c>
      <c r="B3" s="25">
        <v>30</v>
      </c>
      <c r="C3" s="28" t="s">
        <v>19</v>
      </c>
      <c r="E3" s="29">
        <f>B3/100*72</f>
        <v>21.599999999999998</v>
      </c>
      <c r="F3" s="30" t="s">
        <v>16</v>
      </c>
    </row>
    <row r="4" spans="1:6" ht="18.75" customHeight="1" x14ac:dyDescent="0.2">
      <c r="A4" s="31"/>
      <c r="B4" s="31"/>
      <c r="C4" s="31"/>
      <c r="D4" s="31"/>
      <c r="E4" s="31"/>
      <c r="F4" s="31"/>
    </row>
    <row r="5" spans="1:6" ht="18.75" customHeight="1" x14ac:dyDescent="0.2">
      <c r="A5" s="31"/>
      <c r="B5" s="31"/>
      <c r="C5" s="31"/>
      <c r="D5" s="31"/>
      <c r="E5" s="26">
        <v>72</v>
      </c>
      <c r="F5" s="26"/>
    </row>
    <row r="6" spans="1:6" ht="18.75" customHeight="1" x14ac:dyDescent="0.2">
      <c r="B6" s="32" t="s">
        <v>12</v>
      </c>
      <c r="C6" s="33">
        <f>C11+0.05</f>
        <v>0.35</v>
      </c>
      <c r="D6" s="27">
        <f>C6*72</f>
        <v>25.2</v>
      </c>
      <c r="E6" s="34">
        <f t="shared" ref="E6:E16" si="0">D6*$E$5*(0.75*0.001997)*(2*32.174*$E$2)^0.5</f>
        <v>151.02905699773993</v>
      </c>
      <c r="F6" s="35"/>
    </row>
    <row r="7" spans="1:6" ht="18.75" customHeight="1" x14ac:dyDescent="0.2">
      <c r="B7" s="32" t="s">
        <v>11</v>
      </c>
      <c r="C7" s="33">
        <f>C11+0.04</f>
        <v>0.33999999999999997</v>
      </c>
      <c r="D7" s="27">
        <f>C7*72</f>
        <v>24.479999999999997</v>
      </c>
      <c r="E7" s="34">
        <f t="shared" si="0"/>
        <v>146.71394108351879</v>
      </c>
      <c r="F7" s="35"/>
    </row>
    <row r="8" spans="1:6" ht="18.75" customHeight="1" x14ac:dyDescent="0.2">
      <c r="B8" s="32" t="s">
        <v>10</v>
      </c>
      <c r="C8" s="33">
        <f>C11+0.03</f>
        <v>0.32999999999999996</v>
      </c>
      <c r="D8" s="27">
        <f>C8*72</f>
        <v>23.759999999999998</v>
      </c>
      <c r="E8" s="34">
        <f t="shared" si="0"/>
        <v>142.39882516929765</v>
      </c>
      <c r="F8" s="35"/>
    </row>
    <row r="9" spans="1:6" ht="18.75" customHeight="1" x14ac:dyDescent="0.2">
      <c r="B9" s="32" t="s">
        <v>9</v>
      </c>
      <c r="C9" s="33">
        <f>C11+0.02</f>
        <v>0.32</v>
      </c>
      <c r="D9" s="27">
        <f>C9*72</f>
        <v>23.04</v>
      </c>
      <c r="E9" s="34">
        <f t="shared" si="0"/>
        <v>138.08370925507651</v>
      </c>
      <c r="F9" s="35"/>
    </row>
    <row r="10" spans="1:6" ht="18.75" customHeight="1" x14ac:dyDescent="0.2">
      <c r="B10" s="32" t="s">
        <v>8</v>
      </c>
      <c r="C10" s="33">
        <f>C11+0.01</f>
        <v>0.31</v>
      </c>
      <c r="D10" s="27">
        <f>C10*72</f>
        <v>22.32</v>
      </c>
      <c r="E10" s="34">
        <f t="shared" si="0"/>
        <v>133.76859334085538</v>
      </c>
      <c r="F10" s="35"/>
    </row>
    <row r="11" spans="1:6" ht="18.75" customHeight="1" x14ac:dyDescent="0.2">
      <c r="B11" s="32"/>
      <c r="C11" s="36">
        <f>D11/72</f>
        <v>0.3</v>
      </c>
      <c r="D11" s="37">
        <f>E3</f>
        <v>21.599999999999998</v>
      </c>
      <c r="E11" s="38">
        <f t="shared" si="0"/>
        <v>129.45347742663421</v>
      </c>
      <c r="F11" s="39" t="s">
        <v>20</v>
      </c>
    </row>
    <row r="12" spans="1:6" ht="18.75" customHeight="1" x14ac:dyDescent="0.2">
      <c r="B12" s="40">
        <v>-1</v>
      </c>
      <c r="C12" s="33">
        <f>C11-0.01</f>
        <v>0.28999999999999998</v>
      </c>
      <c r="D12" s="27">
        <f>C12*72</f>
        <v>20.88</v>
      </c>
      <c r="E12" s="34">
        <f t="shared" si="0"/>
        <v>125.13836151241308</v>
      </c>
      <c r="F12" s="35"/>
    </row>
    <row r="13" spans="1:6" ht="18.75" customHeight="1" x14ac:dyDescent="0.2">
      <c r="B13" s="41" t="s">
        <v>7</v>
      </c>
      <c r="C13" s="33">
        <f>C11-0.02</f>
        <v>0.27999999999999997</v>
      </c>
      <c r="D13" s="27">
        <f>C13*72</f>
        <v>20.159999999999997</v>
      </c>
      <c r="E13" s="34">
        <f t="shared" si="0"/>
        <v>120.82324559819193</v>
      </c>
      <c r="F13" s="35"/>
    </row>
    <row r="14" spans="1:6" ht="18.75" customHeight="1" x14ac:dyDescent="0.2">
      <c r="B14" s="41" t="s">
        <v>6</v>
      </c>
      <c r="C14" s="33">
        <f>C11-0.03</f>
        <v>0.27</v>
      </c>
      <c r="D14" s="27">
        <f>C14*72</f>
        <v>19.440000000000001</v>
      </c>
      <c r="E14" s="34">
        <f t="shared" si="0"/>
        <v>116.50812968397081</v>
      </c>
      <c r="F14" s="35"/>
    </row>
    <row r="15" spans="1:6" ht="18.75" customHeight="1" x14ac:dyDescent="0.2">
      <c r="B15" s="41" t="s">
        <v>5</v>
      </c>
      <c r="C15" s="33">
        <f>C11-0.04</f>
        <v>0.26</v>
      </c>
      <c r="D15" s="27">
        <f>C15*72</f>
        <v>18.72</v>
      </c>
      <c r="E15" s="34">
        <f t="shared" si="0"/>
        <v>112.19301376974965</v>
      </c>
      <c r="F15" s="35"/>
    </row>
    <row r="16" spans="1:6" ht="18.75" customHeight="1" x14ac:dyDescent="0.2">
      <c r="B16" s="41" t="s">
        <v>4</v>
      </c>
      <c r="C16" s="33">
        <f>C11-0.05</f>
        <v>0.25</v>
      </c>
      <c r="D16" s="27">
        <f>C16*72</f>
        <v>18</v>
      </c>
      <c r="E16" s="34">
        <f t="shared" si="0"/>
        <v>107.87789785552853</v>
      </c>
      <c r="F16" s="35"/>
    </row>
    <row r="17" ht="15.75" hidden="1" customHeight="1" x14ac:dyDescent="0.15"/>
    <row r="18" ht="15.75" hidden="1" customHeight="1" x14ac:dyDescent="0.15"/>
    <row r="19" ht="15.75" hidden="1" customHeight="1" x14ac:dyDescent="0.15"/>
    <row r="20" ht="15.75" hidden="1" customHeight="1" x14ac:dyDescent="0.15"/>
    <row r="21" ht="15.75" hidden="1" customHeight="1" x14ac:dyDescent="0.15"/>
    <row r="22" ht="15.75" hidden="1" customHeight="1" x14ac:dyDescent="0.15"/>
    <row r="23" ht="15.75" hidden="1" customHeight="1" x14ac:dyDescent="0.15"/>
    <row r="24" ht="15.75" hidden="1" customHeight="1" x14ac:dyDescent="0.15"/>
    <row r="25" ht="15.75" hidden="1" customHeight="1" x14ac:dyDescent="0.15"/>
    <row r="26" ht="15.75" hidden="1" customHeight="1" x14ac:dyDescent="0.15"/>
    <row r="27" ht="15.75" hidden="1" customHeight="1" x14ac:dyDescent="0.15"/>
    <row r="28" ht="15.75" hidden="1" customHeight="1" x14ac:dyDescent="0.15"/>
    <row r="29" ht="15.75" hidden="1" customHeight="1" x14ac:dyDescent="0.15"/>
  </sheetData>
  <sheetProtection sheet="1" objects="1" scenarios="1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Overpour</vt:lpstr>
      <vt:lpstr>Pressure</vt:lpstr>
      <vt:lpstr>Open Air</vt:lpstr>
      <vt:lpstr>P-11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Weir Structure Table</dc:title>
  <dc:creator>William Barrett</dc:creator>
  <cp:lastModifiedBy>Barrett, Will</cp:lastModifiedBy>
  <cp:lastPrinted>2025-01-02T16:48:46Z</cp:lastPrinted>
  <dcterms:created xsi:type="dcterms:W3CDTF">2023-02-01T07:00:27Z</dcterms:created>
  <dcterms:modified xsi:type="dcterms:W3CDTF">2026-01-07T16:37:12Z</dcterms:modified>
</cp:coreProperties>
</file>